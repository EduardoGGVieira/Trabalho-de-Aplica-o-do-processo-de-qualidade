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-BR\Documents\PUCPR\4semestre\qualidade de software\ra1\"/>
    </mc:Choice>
  </mc:AlternateContent>
  <xr:revisionPtr revIDLastSave="0" documentId="8_{30D88319-BD30-49F4-8780-21A96E7028BC}" xr6:coauthVersionLast="47" xr6:coauthVersionMax="47" xr10:uidLastSave="{00000000-0000-0000-0000-000000000000}"/>
  <bookViews>
    <workbookView xWindow="-108" yWindow="-108" windowWidth="23256" windowHeight="12456" firstSheet="2" activeTab="4" xr2:uid="{8F922FCB-9B82-4780-BB07-5D91ADE8E9C4}"/>
  </bookViews>
  <sheets>
    <sheet name="C1 - Art1 3 Objetivos" sheetId="3" r:id="rId1"/>
    <sheet name="C2 - Art3 Visao de Produto" sheetId="10" r:id="rId2"/>
    <sheet name="C3 - Art4 Canvas PBB" sheetId="11" r:id="rId3"/>
    <sheet name="C4 - Art5 User Stories" sheetId="12" r:id="rId4"/>
    <sheet name="C5 - Art6 Modelo Relacional" sheetId="1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5" i="3" l="1"/>
  <c r="C44" i="3"/>
  <c r="C35" i="3"/>
  <c r="C34" i="3"/>
  <c r="C32" i="3"/>
  <c r="C31" i="3"/>
  <c r="C33" i="3" s="1"/>
  <c r="C36" i="3" s="1"/>
  <c r="C37" i="3" s="1"/>
  <c r="C45" i="13"/>
  <c r="C45" i="12"/>
  <c r="C45" i="11"/>
  <c r="C46" i="10"/>
  <c r="C44" i="13"/>
  <c r="C44" i="12"/>
  <c r="C44" i="11"/>
  <c r="C45" i="10"/>
  <c r="C31" i="13"/>
  <c r="C32" i="13"/>
  <c r="C33" i="13"/>
  <c r="C34" i="13"/>
  <c r="C35" i="13"/>
  <c r="C36" i="13"/>
  <c r="C37" i="13" s="1"/>
  <c r="C31" i="12"/>
  <c r="C32" i="12"/>
  <c r="C33" i="12"/>
  <c r="C36" i="12" s="1"/>
  <c r="C34" i="12"/>
  <c r="C35" i="12"/>
  <c r="C31" i="11"/>
  <c r="C32" i="11"/>
  <c r="C34" i="11"/>
  <c r="C35" i="11"/>
  <c r="C32" i="10"/>
  <c r="C33" i="10"/>
  <c r="C35" i="10"/>
  <c r="C36" i="10"/>
  <c r="C37" i="12" l="1"/>
  <c r="C33" i="11"/>
  <c r="C34" i="10"/>
  <c r="C36" i="11" l="1"/>
  <c r="C37" i="10"/>
  <c r="C37" i="11" l="1"/>
  <c r="C38" i="10"/>
</calcChain>
</file>

<file path=xl/sharedStrings.xml><?xml version="1.0" encoding="utf-8"?>
<sst xmlns="http://schemas.openxmlformats.org/spreadsheetml/2006/main" count="270" uniqueCount="137">
  <si>
    <t>BES – Especificação do Projeto – JoinUp, seção Artefato 1, v1.0</t>
  </si>
  <si>
    <t>Nº</t>
  </si>
  <si>
    <t>Resultado</t>
  </si>
  <si>
    <t>O artefato está armazenado no local indicado na seção 3 do plano e é acessível à equipe auditora?</t>
  </si>
  <si>
    <t>O artefato identifica o nome do projeto e a versão do documento?</t>
  </si>
  <si>
    <t>O quadro apresenta exatamente três objetivos, conforme exigido pelo template?</t>
  </si>
  <si>
    <t>Cada objetivo está redigido em uma sentença única, clara e sem ambiguidade?</t>
  </si>
  <si>
    <t>Os objetivos estão expressos em linguagem de negócio, compreensível por stakeholders não técnicos?</t>
  </si>
  <si>
    <t>Os objetivos descrevem resultados esperados do produto, e não funcionalidades ou soluções técnicas?</t>
  </si>
  <si>
    <t>Os três objetivos são distintos entre si, sem sobreposição de conteúdo?</t>
  </si>
  <si>
    <t>Cada objetivo é mensurável ou verificável por algum indicador, ainda que qualitativo?</t>
  </si>
  <si>
    <t>Os objetivos são compatíveis com o escopo do projeto JoinUp descrito na Visão Geral?</t>
  </si>
  <si>
    <t>Os objetivos são coerentes com o quadro "é – não é – faz – não faz" (Artefato 2)?</t>
  </si>
  <si>
    <t>Os objetivos são coerentes com o quadro "Visão de Produto" (Artefato 3)?</t>
  </si>
  <si>
    <t>Cada objetivo pode ser rastreado a pelo menos um PBI do Canvas PBB (Artefato 4)?</t>
  </si>
  <si>
    <t>Os objetivos não contêm termos vagos e não quantificáveis (por exemplo, "melhor", "rápido", "moderno") sem definição?</t>
  </si>
  <si>
    <t>O artefato identifica o público-alvo ou o beneficiário associado aos objetivos?</t>
  </si>
  <si>
    <t>A ordem de prioridade ou a relevância relativa dos objetivos está indicada ou é dedutível?</t>
  </si>
  <si>
    <t>O artefato não apresenta objetivos conflitantes ou mutuamente excludentes?</t>
  </si>
  <si>
    <t>A formatação do quadro segue o template de referência (estrutura, títulos e numeração)?</t>
  </si>
  <si>
    <t>O artefato está livre de erros de ortografia, digitação e concordância?</t>
  </si>
  <si>
    <t>O artefato registra autoria e data de elaboração ou de última atualização?</t>
  </si>
  <si>
    <t>O artefato foi revisado ou aprovado pelo Responsável pelo Projeto antes da submissão à auditoria?</t>
  </si>
  <si>
    <t>Situação</t>
  </si>
  <si>
    <t>BES – Especificação do Projeto – JoinUp, seção Artefato 3, v1.0</t>
  </si>
  <si>
    <t>O quadro contempla todos os campos obrigatórios previstos no template de Visão de Produto?</t>
  </si>
  <si>
    <t>O nome do produto está declarado de forma explícita no quadro?</t>
  </si>
  <si>
    <t>O segmento de clientes ou público-alvo está identificado e caracterizado?</t>
  </si>
  <si>
    <t>A necessidade ou o problema que o produto resolve está descrito de forma objetiva?</t>
  </si>
  <si>
    <t>A categoria do produto está informada (por exemplo, rede social, marketplace, plataforma de eventos)?</t>
  </si>
  <si>
    <t>O benefício-chave oferecido ao usuário está declarado?</t>
  </si>
  <si>
    <t>O diferencial competitivo em relação a alternativas existentes está descrito?</t>
  </si>
  <si>
    <t>O quadro identifica os principais concorrentes ou soluções alternativas?</t>
  </si>
  <si>
    <t>As premissas e restrições do produto estão registradas, quando aplicável?</t>
  </si>
  <si>
    <t>Todos os campos do quadro estão preenchidos, sem lacunas ou marcadores de template remanescentes?</t>
  </si>
  <si>
    <t>A visão de produto é consistente com os três objetivos declarados no Artefato 1?</t>
  </si>
  <si>
    <t>A visão de produto é consistente com o quadro "é – não é – faz – não faz" (Artefato 2)?</t>
  </si>
  <si>
    <t>A visão de produto é rastreável às funcionalidades registradas no Canvas PBB (Artefato 4)?</t>
  </si>
  <si>
    <t>O conteúdo do quadro está redigido em linguagem clara, sem jargão técnico não explicado?</t>
  </si>
  <si>
    <t>O texto está livre de ambiguidades e de termos vagos sem definição?</t>
  </si>
  <si>
    <t>O escopo declarado é compatível com o prazo e com os recursos previstos para o projeto?</t>
  </si>
  <si>
    <t>O artefato registra autoria, versão e data de elaboração ou de última atualização?</t>
  </si>
  <si>
    <t>Repositório /docs/especificacao/ e Miro da equipe, v1.0</t>
  </si>
  <si>
    <t>O canvas utiliza o template oficial do PBB, com todas as raias previstas pela diretriz?</t>
  </si>
  <si>
    <t>A raia de Produto identifica o nome e o propósito do produto?</t>
  </si>
  <si>
    <t>As personas estão identificadas com nome e caracterização mínima?</t>
  </si>
  <si>
    <t>Cada persona possui ao menos uma necessidade ou expectativa associada?</t>
  </si>
  <si>
    <t>As necessidades registradas estão vinculadas a personas específicas, e não genéricas?</t>
  </si>
  <si>
    <t>Os PBIs (features) estão registrados de forma legível e individualizada?</t>
  </si>
  <si>
    <t>Cada PBI está associado a pelo menos uma necessidade ou persona?</t>
  </si>
  <si>
    <t>Os PBIs descrevem funcionalidades, e não tarefas técnicas de implementação?</t>
  </si>
  <si>
    <t>Os PBIs estão em nível de granularidade homogêneo, sem itens excessivamente amplos ou triviais?</t>
  </si>
  <si>
    <t>Não há PBIs duplicados ou com sobreposição de escopo?</t>
  </si>
  <si>
    <t>A raia de produtos/resultados esperados está preenchida e coerente com os objetivos do Artefato 1?</t>
  </si>
  <si>
    <t>As regras de negócio identificadas estão registradas na raia correspondente?</t>
  </si>
  <si>
    <t>Existem critérios de aceite ou notas de validação associados aos PBIs, quando previstos pela diretriz?</t>
  </si>
  <si>
    <t>Há indicação de priorização dos PBIs (ordem, MVP ou classificação equivalente)?</t>
  </si>
  <si>
    <t>Todo PBI do canvas possui user story correspondente no Artefato 5?</t>
  </si>
  <si>
    <t>Toda user story do Artefato 5 possui PBI correspondente no canvas (rastreabilidade bidirecional)?</t>
  </si>
  <si>
    <t>O canvas está legível na versão exportada, sem cortes, sobreposições ou texto ilegível?</t>
  </si>
  <si>
    <t>O artefato está livre de erros de ortografia e digitação?</t>
  </si>
  <si>
    <t>BES – Especificação do Projeto – JoinUp, seção Artefato 5, v1.0</t>
  </si>
  <si>
    <t>Toda user story possui identificador único e não repetido?</t>
  </si>
  <si>
    <t>Toda user story possui título objetivo que resume a funcionalidade?</t>
  </si>
  <si>
    <t>Toda user story segue o formato COMO / POSSO / PARA previsto na diretriz?</t>
  </si>
  <si>
    <t>O campo "COMO" identifica um ator ou persona existente no Canvas PBB?</t>
  </si>
  <si>
    <t>O campo "POSSO" descreve uma ação executável pelo usuário no sistema?</t>
  </si>
  <si>
    <t>O campo "PARA" expressa um benefício ou valor de negócio, e não uma repetição da ação?</t>
  </si>
  <si>
    <t>As user stories descrevem necessidades do usuário, e não soluções técnicas de implementação?</t>
  </si>
  <si>
    <t>Toda user story possui ao menos um critério de aceite associado?</t>
  </si>
  <si>
    <t>Todos os critérios de aceite seguem o formato DADO QUE / QUANDO / ENTÃO?</t>
  </si>
  <si>
    <t>Os critérios de aceite são verificáveis objetivamente, permitindo decisão binária de atendimento?</t>
  </si>
  <si>
    <t>Os critérios de aceite cobrem, além do fluxo principal, ao menos um cenário alternativo ou de exceção quando aplicável?</t>
  </si>
  <si>
    <t>Os critérios de aceite estão livres de ambiguidade e de termos vagos sem definição?</t>
  </si>
  <si>
    <t>As user stories são independentes entre si ou têm dependências explicitamente declaradas?</t>
  </si>
  <si>
    <t>As user stories apresentam granularidade adequada, sem itens que configurem épicos não decompostos?</t>
  </si>
  <si>
    <t>Não existem user stories duplicadas ou com sobreposição de escopo?</t>
  </si>
  <si>
    <t>Há indicação de prioridade, estimativa ou classificação de MVP para cada user story?</t>
  </si>
  <si>
    <t>Toda user story é rastreável a um PBI do Canvas PBB (Artefato 4)?</t>
  </si>
  <si>
    <t>As entidades e os dados citados nas user stories têm correspondência no Modelo Relacional (Artefato 6)?</t>
  </si>
  <si>
    <t>O artefato está livre de erros de ortografia, digitação e concordância, e registra autoria, versão e data?</t>
  </si>
  <si>
    <t>Repositório /docs/modelagem/ e link externo indicado no documento, v1.0</t>
  </si>
  <si>
    <t>O modelo identifica o nome do projeto, a versão e a data de elaboração?</t>
  </si>
  <si>
    <t>Toda entidade possui nome único, no padrão de nomenclatura adotado pela equipe?</t>
  </si>
  <si>
    <t>A nomenclatura de tabelas e de colunas é uniforme em todo o modelo (idioma, singular/plural e uso de separadores)?</t>
  </si>
  <si>
    <t>Toda entidade possui chave primária definida?</t>
  </si>
  <si>
    <t>Todos os atributos possuem tipo de dado especificado e adequado ao conteúdo que armazenam?</t>
  </si>
  <si>
    <t>Os atributos obrigatórios estão identificados quanto à obrigatoriedade (NOT NULL) ou opcionalidade?</t>
  </si>
  <si>
    <t>Os tamanhos e as precisões dos campos estão definidos quando o tipo de dado exige?</t>
  </si>
  <si>
    <t>Todos os relacionamentos entre entidades estão representados com chave estrangeira?</t>
  </si>
  <si>
    <t>A cardinalidade de cada relacionamento está indicada?</t>
  </si>
  <si>
    <t>Os relacionamentos muitos-para-muitos foram resolvidos por meio de tabela associativa?</t>
  </si>
  <si>
    <t>O modelo está na Primeira Forma Normal (ausência de atributos multivalorados ou compostos)?</t>
  </si>
  <si>
    <t>O modelo está na Segunda Forma Normal (ausência de dependência parcial da chave primária)?</t>
  </si>
  <si>
    <t>O modelo está na Terceira Forma Normal (ausência de dependência transitiva entre atributos não chave)?</t>
  </si>
  <si>
    <t>Não há entidades, atributos ou relacionamentos redundantes ou não utilizados?</t>
  </si>
  <si>
    <t>Não existem entidades órfãs, sem qualquer relacionamento, salvo justificativa registrada?</t>
  </si>
  <si>
    <t>As restrições de integridade e as regras de negócio pertinentes estão representadas ou documentadas?</t>
  </si>
  <si>
    <t>Todas as entidades necessárias para atender às user stories do Artefato 5 estão contempladas no modelo?</t>
  </si>
  <si>
    <t>O modelo é coerente com o Diagrama de Classes (Artefato 7) quanto a entidades, atributos e relacionamentos?</t>
  </si>
  <si>
    <t>O diagrama está legível na versão exportada, com legenda e notação uniforme, e livre de erros de ortografia?</t>
  </si>
  <si>
    <t>André</t>
  </si>
  <si>
    <t>Eduardo</t>
  </si>
  <si>
    <t>Arthur</t>
  </si>
  <si>
    <t>Avaliação de Processo e Produto - Artefato 1 – Quadro "3 Objetivos"</t>
  </si>
  <si>
    <t>Projeto avaliado</t>
  </si>
  <si>
    <t>JoinUp</t>
  </si>
  <si>
    <t>Descrição da Avaliação</t>
  </si>
  <si>
    <t>Auditor de QA</t>
  </si>
  <si>
    <t>Data da auditoria</t>
  </si>
  <si>
    <t>Descrição</t>
  </si>
  <si>
    <t>Responsável</t>
  </si>
  <si>
    <t>Observações</t>
  </si>
  <si>
    <t>Classificação da NCF</t>
  </si>
  <si>
    <t>Ação corretiva indicada</t>
  </si>
  <si>
    <t>Situação da NC</t>
  </si>
  <si>
    <t>Avaliação de Processo e Produto - Artefato 3 – Quadro "Visão de Produto"</t>
  </si>
  <si>
    <t>Avaliação de Processo e Produto - Artefato 4 – Canvas PBB (Product Backlog Building)</t>
  </si>
  <si>
    <t>Avaliação de Processo e Produto - Artefato 5 – Relação de User Stories e Critérios de Aceite</t>
  </si>
  <si>
    <t>Avaliação de Processo e Produto - Artefato 6 – Modelo Relacional</t>
  </si>
  <si>
    <t>Apuração da Avaliação</t>
  </si>
  <si>
    <t>Nº de pontos de avaliação</t>
  </si>
  <si>
    <t>NCF Não aplicáveis nesta avaliação</t>
  </si>
  <si>
    <t>Pontos aplicáveis</t>
  </si>
  <si>
    <t>Nº de pontos conformes (C)</t>
  </si>
  <si>
    <t>Nº de pontos não conformes (NC)</t>
  </si>
  <si>
    <t>Aderência</t>
  </si>
  <si>
    <t>Faixas de Aderência</t>
  </si>
  <si>
    <t>0-60%</t>
  </si>
  <si>
    <t>Não aderente</t>
  </si>
  <si>
    <t>61-90%</t>
  </si>
  <si>
    <t>Parcialmente aderente</t>
  </si>
  <si>
    <t>91-100%</t>
  </si>
  <si>
    <t>Aderente</t>
  </si>
  <si>
    <t>Auditor de QA:</t>
  </si>
  <si>
    <t>Data:</t>
  </si>
  <si>
    <t>Tempo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</si>
</sst>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0" borderId="0" xfId="0" applyBorder="1"/>
    <xf numFmtId="0" fontId="0" fillId="0" borderId="3" xfId="0" applyBorder="1"/>
    <xf numFmtId="0" fontId="0" fillId="0" borderId="2" xfId="0" applyBorder="1"/>
    <xf numFmtId="14" fontId="0" fillId="0" borderId="2" xfId="0" applyNumberFormat="1" applyBorder="1"/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top"/>
    </xf>
    <xf numFmtId="0" fontId="0" fillId="0" borderId="0" xfId="0" applyBorder="1" applyAlignment="1">
      <alignment horizontal="center"/>
    </xf>
    <xf numFmtId="0" fontId="1" fillId="0" borderId="0" xfId="0" applyFont="1" applyBorder="1"/>
    <xf numFmtId="14" fontId="0" fillId="0" borderId="0" xfId="0" applyNumberFormat="1" applyBorder="1"/>
    <xf numFmtId="0" fontId="1" fillId="0" borderId="2" xfId="0" applyFont="1" applyBorder="1"/>
    <xf numFmtId="0" fontId="0" fillId="0" borderId="1" xfId="0" applyBorder="1"/>
    <xf numFmtId="10" fontId="0" fillId="0" borderId="0" xfId="0" applyNumberFormat="1" applyBorder="1"/>
    <xf numFmtId="10" fontId="0" fillId="0" borderId="2" xfId="0" applyNumberFormat="1" applyBorder="1"/>
    <xf numFmtId="0" fontId="1" fillId="2" borderId="4" xfId="0" applyFont="1" applyFill="1" applyBorder="1" applyAlignment="1">
      <alignment horizontal="center" vertical="center" wrapText="1"/>
    </xf>
    <xf numFmtId="0" fontId="0" fillId="2" borderId="0" xfId="0" applyFill="1"/>
    <xf numFmtId="0" fontId="1" fillId="3" borderId="0" xfId="0" applyFont="1" applyFill="1" applyAlignment="1"/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 wrapText="1"/>
    </xf>
    <xf numFmtId="0" fontId="1" fillId="3" borderId="0" xfId="0" applyFont="1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65D2E8E-A6A4-4C14-AB1F-17283D23378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ea8fa95-47e1-45d5-bb63-29d7f2f0728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56547-D212-45C8-A0A0-14CB050D62AA}">
  <dimension ref="A1:H48"/>
  <sheetViews>
    <sheetView topLeftCell="A4" zoomScale="85" zoomScaleNormal="85" workbookViewId="0">
      <selection activeCell="B39" sqref="B39"/>
    </sheetView>
  </sheetViews>
  <sheetFormatPr defaultRowHeight="14.4" x14ac:dyDescent="0.3"/>
  <cols>
    <col min="1" max="1" width="6.33203125" customWidth="1"/>
    <col min="2" max="2" width="74.109375" customWidth="1"/>
    <col min="3" max="3" width="53.33203125" bestFit="1" customWidth="1"/>
    <col min="4" max="4" width="37" customWidth="1"/>
    <col min="5" max="5" width="40.77734375" customWidth="1"/>
    <col min="6" max="6" width="27.77734375" customWidth="1"/>
    <col min="7" max="7" width="33.33203125" customWidth="1"/>
    <col min="8" max="8" width="20.33203125" customWidth="1"/>
  </cols>
  <sheetData>
    <row r="1" spans="1:8" x14ac:dyDescent="0.3">
      <c r="A1" s="18"/>
      <c r="B1" s="19" t="s">
        <v>104</v>
      </c>
      <c r="C1" s="19"/>
    </row>
    <row r="3" spans="1:8" x14ac:dyDescent="0.3">
      <c r="B3" s="12" t="s">
        <v>105</v>
      </c>
      <c r="C3" s="4" t="s">
        <v>106</v>
      </c>
    </row>
    <row r="4" spans="1:8" x14ac:dyDescent="0.3">
      <c r="B4" s="12" t="s">
        <v>107</v>
      </c>
      <c r="C4" s="4" t="s">
        <v>0</v>
      </c>
    </row>
    <row r="5" spans="1:8" x14ac:dyDescent="0.3">
      <c r="B5" s="12" t="s">
        <v>108</v>
      </c>
      <c r="C5" s="4" t="s">
        <v>101</v>
      </c>
    </row>
    <row r="6" spans="1:8" x14ac:dyDescent="0.3">
      <c r="B6" s="12" t="s">
        <v>109</v>
      </c>
      <c r="C6" s="5"/>
    </row>
    <row r="8" spans="1:8" s="17" customFormat="1" ht="43.2" x14ac:dyDescent="0.3">
      <c r="A8" s="16" t="s">
        <v>1</v>
      </c>
      <c r="B8" s="16" t="s">
        <v>110</v>
      </c>
      <c r="C8" s="16" t="s">
        <v>2</v>
      </c>
      <c r="D8" s="16" t="s">
        <v>111</v>
      </c>
      <c r="E8" s="16" t="s">
        <v>112</v>
      </c>
      <c r="F8" s="16" t="s">
        <v>113</v>
      </c>
      <c r="G8" s="16" t="s">
        <v>114</v>
      </c>
      <c r="H8" s="16" t="s">
        <v>115</v>
      </c>
    </row>
    <row r="9" spans="1:8" ht="28.8" x14ac:dyDescent="0.3">
      <c r="A9" s="8">
        <v>1</v>
      </c>
      <c r="B9" s="7" t="s">
        <v>3</v>
      </c>
      <c r="C9" s="8"/>
      <c r="D9" s="6"/>
      <c r="E9" s="7"/>
      <c r="F9" s="6"/>
      <c r="G9" s="7"/>
      <c r="H9" s="8"/>
    </row>
    <row r="10" spans="1:8" x14ac:dyDescent="0.3">
      <c r="A10" s="8">
        <v>2</v>
      </c>
      <c r="B10" s="7" t="s">
        <v>4</v>
      </c>
      <c r="C10" s="8"/>
      <c r="D10" s="6"/>
      <c r="E10" s="7"/>
      <c r="F10" s="6"/>
      <c r="G10" s="7"/>
      <c r="H10" s="8"/>
    </row>
    <row r="11" spans="1:8" x14ac:dyDescent="0.3">
      <c r="A11" s="8">
        <v>3</v>
      </c>
      <c r="B11" s="7" t="s">
        <v>5</v>
      </c>
      <c r="C11" s="8"/>
      <c r="D11" s="6"/>
      <c r="E11" s="7"/>
      <c r="F11" s="6"/>
      <c r="G11" s="7"/>
      <c r="H11" s="8"/>
    </row>
    <row r="12" spans="1:8" x14ac:dyDescent="0.3">
      <c r="A12" s="8">
        <v>4</v>
      </c>
      <c r="B12" s="7" t="s">
        <v>6</v>
      </c>
      <c r="C12" s="8"/>
      <c r="D12" s="6"/>
      <c r="E12" s="7"/>
      <c r="F12" s="6"/>
      <c r="G12" s="7"/>
      <c r="H12" s="8"/>
    </row>
    <row r="13" spans="1:8" ht="28.8" x14ac:dyDescent="0.3">
      <c r="A13" s="8">
        <v>5</v>
      </c>
      <c r="B13" s="7" t="s">
        <v>7</v>
      </c>
      <c r="C13" s="8"/>
      <c r="D13" s="6"/>
      <c r="E13" s="7"/>
      <c r="F13" s="6"/>
      <c r="G13" s="7"/>
      <c r="H13" s="8"/>
    </row>
    <row r="14" spans="1:8" ht="28.8" x14ac:dyDescent="0.3">
      <c r="A14" s="8">
        <v>6</v>
      </c>
      <c r="B14" s="7" t="s">
        <v>8</v>
      </c>
      <c r="C14" s="8"/>
      <c r="D14" s="6"/>
      <c r="E14" s="7"/>
      <c r="F14" s="6"/>
      <c r="G14" s="7"/>
      <c r="H14" s="8"/>
    </row>
    <row r="15" spans="1:8" x14ac:dyDescent="0.3">
      <c r="A15" s="8">
        <v>7</v>
      </c>
      <c r="B15" s="7" t="s">
        <v>9</v>
      </c>
      <c r="C15" s="8"/>
      <c r="D15" s="6"/>
      <c r="E15" s="7"/>
      <c r="F15" s="6"/>
      <c r="G15" s="7"/>
      <c r="H15" s="8"/>
    </row>
    <row r="16" spans="1:8" x14ac:dyDescent="0.3">
      <c r="A16" s="8">
        <v>8</v>
      </c>
      <c r="B16" s="7" t="s">
        <v>10</v>
      </c>
      <c r="C16" s="8"/>
      <c r="D16" s="6"/>
      <c r="E16" s="7"/>
      <c r="F16" s="6"/>
      <c r="G16" s="7"/>
      <c r="H16" s="8"/>
    </row>
    <row r="17" spans="1:8" x14ac:dyDescent="0.3">
      <c r="A17" s="8">
        <v>9</v>
      </c>
      <c r="B17" s="7" t="s">
        <v>11</v>
      </c>
      <c r="C17" s="8"/>
      <c r="D17" s="6"/>
      <c r="E17" s="7"/>
      <c r="F17" s="6"/>
      <c r="G17" s="7"/>
      <c r="H17" s="8"/>
    </row>
    <row r="18" spans="1:8" x14ac:dyDescent="0.3">
      <c r="A18" s="8">
        <v>10</v>
      </c>
      <c r="B18" s="7" t="s">
        <v>12</v>
      </c>
      <c r="C18" s="8"/>
      <c r="D18" s="6"/>
      <c r="E18" s="7"/>
      <c r="F18" s="6"/>
      <c r="G18" s="7"/>
      <c r="H18" s="8"/>
    </row>
    <row r="19" spans="1:8" x14ac:dyDescent="0.3">
      <c r="A19" s="8">
        <v>11</v>
      </c>
      <c r="B19" s="7" t="s">
        <v>13</v>
      </c>
      <c r="C19" s="8"/>
      <c r="D19" s="6"/>
      <c r="E19" s="7"/>
      <c r="F19" s="6"/>
      <c r="G19" s="7"/>
      <c r="H19" s="8"/>
    </row>
    <row r="20" spans="1:8" x14ac:dyDescent="0.3">
      <c r="A20" s="8">
        <v>12</v>
      </c>
      <c r="B20" s="7" t="s">
        <v>14</v>
      </c>
      <c r="C20" s="8"/>
      <c r="D20" s="6"/>
      <c r="E20" s="7"/>
      <c r="F20" s="6"/>
      <c r="G20" s="7"/>
      <c r="H20" s="8"/>
    </row>
    <row r="21" spans="1:8" ht="28.8" x14ac:dyDescent="0.3">
      <c r="A21" s="8">
        <v>13</v>
      </c>
      <c r="B21" s="7" t="s">
        <v>15</v>
      </c>
      <c r="C21" s="8"/>
      <c r="D21" s="6"/>
      <c r="E21" s="7"/>
      <c r="F21" s="6"/>
      <c r="G21" s="7"/>
      <c r="H21" s="8"/>
    </row>
    <row r="22" spans="1:8" x14ac:dyDescent="0.3">
      <c r="A22" s="8">
        <v>14</v>
      </c>
      <c r="B22" s="7" t="s">
        <v>16</v>
      </c>
      <c r="C22" s="8"/>
      <c r="D22" s="6"/>
      <c r="E22" s="7"/>
      <c r="F22" s="6"/>
      <c r="G22" s="7"/>
      <c r="H22" s="8"/>
    </row>
    <row r="23" spans="1:8" x14ac:dyDescent="0.3">
      <c r="A23" s="8">
        <v>15</v>
      </c>
      <c r="B23" s="7" t="s">
        <v>17</v>
      </c>
      <c r="C23" s="8"/>
      <c r="D23" s="6"/>
      <c r="E23" s="7"/>
      <c r="F23" s="6"/>
      <c r="G23" s="7"/>
      <c r="H23" s="8"/>
    </row>
    <row r="24" spans="1:8" x14ac:dyDescent="0.3">
      <c r="A24" s="8">
        <v>16</v>
      </c>
      <c r="B24" s="7" t="s">
        <v>18</v>
      </c>
      <c r="C24" s="8"/>
      <c r="D24" s="6"/>
      <c r="E24" s="7"/>
      <c r="F24" s="6"/>
      <c r="G24" s="7"/>
      <c r="H24" s="8"/>
    </row>
    <row r="25" spans="1:8" x14ac:dyDescent="0.3">
      <c r="A25" s="8">
        <v>17</v>
      </c>
      <c r="B25" s="7" t="s">
        <v>19</v>
      </c>
      <c r="C25" s="8"/>
      <c r="D25" s="6"/>
      <c r="E25" s="7"/>
      <c r="F25" s="6"/>
      <c r="G25" s="7"/>
      <c r="H25" s="8"/>
    </row>
    <row r="26" spans="1:8" x14ac:dyDescent="0.3">
      <c r="A26" s="8">
        <v>18</v>
      </c>
      <c r="B26" s="7" t="s">
        <v>20</v>
      </c>
      <c r="C26" s="8"/>
      <c r="D26" s="6"/>
      <c r="E26" s="7"/>
      <c r="F26" s="6"/>
      <c r="G26" s="7"/>
      <c r="H26" s="8"/>
    </row>
    <row r="27" spans="1:8" x14ac:dyDescent="0.3">
      <c r="A27" s="8">
        <v>19</v>
      </c>
      <c r="B27" s="7" t="s">
        <v>21</v>
      </c>
      <c r="C27" s="8"/>
      <c r="D27" s="6"/>
      <c r="E27" s="7"/>
      <c r="F27" s="6"/>
      <c r="G27" s="7"/>
      <c r="H27" s="8"/>
    </row>
    <row r="28" spans="1:8" ht="28.8" x14ac:dyDescent="0.3">
      <c r="A28" s="8">
        <v>20</v>
      </c>
      <c r="B28" s="7" t="s">
        <v>22</v>
      </c>
      <c r="C28" s="8"/>
      <c r="D28" s="22"/>
      <c r="E28" s="23"/>
      <c r="F28" s="6"/>
      <c r="G28" s="7"/>
      <c r="H28" s="8"/>
    </row>
    <row r="29" spans="1:8" x14ac:dyDescent="0.3">
      <c r="B29" s="4"/>
      <c r="C29" s="13"/>
      <c r="D29" s="2"/>
      <c r="E29" s="2"/>
    </row>
    <row r="30" spans="1:8" x14ac:dyDescent="0.3">
      <c r="B30" s="20" t="s">
        <v>120</v>
      </c>
      <c r="C30" s="4"/>
      <c r="D30" s="2"/>
      <c r="E30" s="2"/>
    </row>
    <row r="31" spans="1:8" x14ac:dyDescent="0.3">
      <c r="B31" s="4" t="s">
        <v>121</v>
      </c>
      <c r="C31" s="4">
        <f>COUNTA($B$9:$B$28)</f>
        <v>20</v>
      </c>
      <c r="D31" s="2"/>
      <c r="E31" s="2"/>
    </row>
    <row r="32" spans="1:8" x14ac:dyDescent="0.3">
      <c r="B32" s="4" t="s">
        <v>122</v>
      </c>
      <c r="C32" s="4">
        <f>COUNTIF($C$9:$C$28,"N/A")</f>
        <v>0</v>
      </c>
      <c r="D32" s="2"/>
      <c r="E32" s="2"/>
    </row>
    <row r="33" spans="2:5" x14ac:dyDescent="0.3">
      <c r="B33" s="4" t="s">
        <v>123</v>
      </c>
      <c r="C33" s="4">
        <f>C31-C32</f>
        <v>20</v>
      </c>
      <c r="D33" s="2"/>
      <c r="E33" s="2"/>
    </row>
    <row r="34" spans="2:5" x14ac:dyDescent="0.3">
      <c r="B34" s="4" t="s">
        <v>124</v>
      </c>
      <c r="C34" s="4">
        <f>COUNTIF($C$9:$C$28,"C")</f>
        <v>0</v>
      </c>
      <c r="D34" s="2"/>
      <c r="E34" s="2"/>
    </row>
    <row r="35" spans="2:5" x14ac:dyDescent="0.3">
      <c r="B35" s="4" t="s">
        <v>125</v>
      </c>
      <c r="C35" s="4">
        <f>COUNTIF($C$9:$C$28,"NC")</f>
        <v>0</v>
      </c>
      <c r="D35" s="2"/>
      <c r="E35" s="2"/>
    </row>
    <row r="36" spans="2:5" x14ac:dyDescent="0.3">
      <c r="B36" s="4" t="s">
        <v>126</v>
      </c>
      <c r="C36" s="15" t="str">
        <f>IF(OR(C33=0,COUNTA($C$9:$C$28)=0),"",C34/C33)</f>
        <v/>
      </c>
      <c r="D36" s="2"/>
      <c r="E36" s="14"/>
    </row>
    <row r="37" spans="2:5" x14ac:dyDescent="0.3">
      <c r="B37" s="4" t="s">
        <v>23</v>
      </c>
      <c r="C37" s="4" t="str">
        <f>IF(C36="","",IF(C36&gt;=0.91,"91-100%",IF(C36&gt;=0.61,"61-90%","0-60%")))</f>
        <v/>
      </c>
      <c r="D37" s="2"/>
      <c r="E37" s="2"/>
    </row>
    <row r="38" spans="2:5" x14ac:dyDescent="0.3">
      <c r="B38" s="4"/>
      <c r="C38" s="4"/>
      <c r="D38" s="2"/>
      <c r="E38" s="2"/>
    </row>
    <row r="39" spans="2:5" x14ac:dyDescent="0.3">
      <c r="B39" s="20" t="s">
        <v>127</v>
      </c>
      <c r="C39" s="4"/>
      <c r="D39" s="10"/>
      <c r="E39" s="2"/>
    </row>
    <row r="40" spans="2:5" x14ac:dyDescent="0.3">
      <c r="B40" s="4" t="s">
        <v>128</v>
      </c>
      <c r="C40" s="4" t="s">
        <v>129</v>
      </c>
      <c r="D40" s="2"/>
      <c r="E40" s="2"/>
    </row>
    <row r="41" spans="2:5" x14ac:dyDescent="0.3">
      <c r="B41" s="4" t="s">
        <v>130</v>
      </c>
      <c r="C41" s="4" t="s">
        <v>131</v>
      </c>
      <c r="D41" s="2"/>
      <c r="E41" s="2"/>
    </row>
    <row r="42" spans="2:5" x14ac:dyDescent="0.3">
      <c r="B42" s="4" t="s">
        <v>132</v>
      </c>
      <c r="C42" s="4" t="s">
        <v>133</v>
      </c>
      <c r="D42" s="2"/>
      <c r="E42" s="2"/>
    </row>
    <row r="43" spans="2:5" x14ac:dyDescent="0.3">
      <c r="B43" s="4"/>
      <c r="C43" s="4"/>
      <c r="D43" s="2"/>
      <c r="E43" s="2"/>
    </row>
    <row r="44" spans="2:5" x14ac:dyDescent="0.3">
      <c r="B44" s="4" t="s">
        <v>134</v>
      </c>
      <c r="C44" s="4">
        <f>A5</f>
        <v>0</v>
      </c>
      <c r="D44" s="2"/>
      <c r="E44" s="24"/>
    </row>
    <row r="45" spans="2:5" x14ac:dyDescent="0.3">
      <c r="B45" s="4" t="s">
        <v>135</v>
      </c>
      <c r="C45" s="5" t="str">
        <f>IF(A6="","",A6)</f>
        <v/>
      </c>
      <c r="D45" s="2"/>
      <c r="E45" s="11"/>
    </row>
    <row r="46" spans="2:5" x14ac:dyDescent="0.3">
      <c r="B46" s="4" t="s">
        <v>136</v>
      </c>
      <c r="C46" s="4"/>
      <c r="D46" s="2"/>
      <c r="E46" s="2"/>
    </row>
    <row r="47" spans="2:5" x14ac:dyDescent="0.3">
      <c r="B47" s="2"/>
      <c r="C47" s="9"/>
    </row>
    <row r="48" spans="2:5" x14ac:dyDescent="0.3">
      <c r="B48" s="10"/>
      <c r="C48" s="25"/>
    </row>
  </sheetData>
  <mergeCells count="1">
    <mergeCell ref="B1:C1"/>
  </mergeCells>
  <dataValidations count="3">
    <dataValidation type="list" allowBlank="1" showInputMessage="1" showErrorMessage="1" sqref="C9:C28" xr:uid="{226E6EC5-FB8D-47A6-B9E8-B63517D54ED1}">
      <formula1>"C,NC,N/A"</formula1>
    </dataValidation>
    <dataValidation type="list" allowBlank="1" showInputMessage="1" showErrorMessage="1" sqref="H9:H28" xr:uid="{6EC1D86F-C6BB-457F-ACA2-7945E78CBAFB}">
      <formula1>"Aberta,Em resolução,Resolvida,Escalonada,Não se aplica"</formula1>
    </dataValidation>
    <dataValidation type="list" allowBlank="1" showInputMessage="1" showErrorMessage="1" sqref="F9:F28" xr:uid="{C537BA7B-E2C3-4DF4-BD34-CB9ED5139223}">
      <formula1>$B$31:$B$47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18415-FFB8-407B-921D-2B1984E80824}">
  <dimension ref="A1:H48"/>
  <sheetViews>
    <sheetView zoomScale="55" zoomScaleNormal="55" workbookViewId="0">
      <selection activeCell="B40" sqref="B40"/>
    </sheetView>
  </sheetViews>
  <sheetFormatPr defaultRowHeight="14.4" x14ac:dyDescent="0.3"/>
  <cols>
    <col min="1" max="1" width="6.33203125" customWidth="1"/>
    <col min="2" max="2" width="74.109375" customWidth="1"/>
    <col min="3" max="3" width="61.77734375" bestFit="1" customWidth="1"/>
    <col min="4" max="4" width="37" customWidth="1"/>
    <col min="5" max="5" width="40.77734375" customWidth="1"/>
    <col min="6" max="6" width="27.77734375" customWidth="1"/>
    <col min="7" max="7" width="33.33203125" customWidth="1"/>
    <col min="8" max="8" width="20.33203125" customWidth="1"/>
  </cols>
  <sheetData>
    <row r="1" spans="1:8" x14ac:dyDescent="0.3">
      <c r="A1" s="26"/>
      <c r="B1" s="28" t="s">
        <v>116</v>
      </c>
      <c r="C1" s="28"/>
    </row>
    <row r="3" spans="1:8" x14ac:dyDescent="0.3">
      <c r="B3" s="12" t="s">
        <v>105</v>
      </c>
      <c r="C3" s="4" t="s">
        <v>106</v>
      </c>
    </row>
    <row r="4" spans="1:8" x14ac:dyDescent="0.3">
      <c r="B4" s="12" t="s">
        <v>107</v>
      </c>
      <c r="C4" s="4" t="s">
        <v>24</v>
      </c>
    </row>
    <row r="5" spans="1:8" x14ac:dyDescent="0.3">
      <c r="B5" s="12" t="s">
        <v>108</v>
      </c>
      <c r="C5" s="4" t="s">
        <v>101</v>
      </c>
    </row>
    <row r="6" spans="1:8" x14ac:dyDescent="0.3">
      <c r="B6" s="12" t="s">
        <v>109</v>
      </c>
      <c r="C6" s="5"/>
    </row>
    <row r="8" spans="1:8" ht="43.2" x14ac:dyDescent="0.3">
      <c r="A8" s="16" t="s">
        <v>1</v>
      </c>
      <c r="B8" s="16" t="s">
        <v>110</v>
      </c>
      <c r="C8" s="16" t="s">
        <v>2</v>
      </c>
      <c r="D8" s="16" t="s">
        <v>111</v>
      </c>
      <c r="E8" s="16" t="s">
        <v>112</v>
      </c>
      <c r="F8" s="16" t="s">
        <v>113</v>
      </c>
      <c r="G8" s="16" t="s">
        <v>114</v>
      </c>
      <c r="H8" s="16" t="s">
        <v>115</v>
      </c>
    </row>
    <row r="9" spans="1:8" ht="28.8" x14ac:dyDescent="0.3">
      <c r="A9" s="8">
        <v>1</v>
      </c>
      <c r="B9" s="7" t="s">
        <v>3</v>
      </c>
      <c r="C9" s="8"/>
      <c r="D9" s="6"/>
      <c r="E9" s="7"/>
      <c r="F9" s="6"/>
      <c r="G9" s="7"/>
      <c r="H9" s="8"/>
    </row>
    <row r="10" spans="1:8" ht="28.8" x14ac:dyDescent="0.3">
      <c r="A10" s="8">
        <v>2</v>
      </c>
      <c r="B10" s="7" t="s">
        <v>25</v>
      </c>
      <c r="C10" s="8"/>
      <c r="D10" s="6"/>
      <c r="E10" s="7"/>
      <c r="F10" s="6"/>
      <c r="G10" s="7"/>
      <c r="H10" s="8"/>
    </row>
    <row r="11" spans="1:8" x14ac:dyDescent="0.3">
      <c r="A11" s="8">
        <v>3</v>
      </c>
      <c r="B11" s="7" t="s">
        <v>26</v>
      </c>
      <c r="C11" s="8"/>
      <c r="D11" s="6"/>
      <c r="E11" s="7"/>
      <c r="F11" s="6"/>
      <c r="G11" s="7"/>
      <c r="H11" s="8"/>
    </row>
    <row r="12" spans="1:8" x14ac:dyDescent="0.3">
      <c r="A12" s="8">
        <v>4</v>
      </c>
      <c r="B12" s="7" t="s">
        <v>27</v>
      </c>
      <c r="C12" s="8"/>
      <c r="D12" s="6"/>
      <c r="E12" s="7"/>
      <c r="F12" s="6"/>
      <c r="G12" s="7"/>
      <c r="H12" s="8"/>
    </row>
    <row r="13" spans="1:8" x14ac:dyDescent="0.3">
      <c r="A13" s="8">
        <v>5</v>
      </c>
      <c r="B13" s="7" t="s">
        <v>28</v>
      </c>
      <c r="C13" s="8"/>
      <c r="D13" s="6"/>
      <c r="E13" s="7"/>
      <c r="F13" s="6"/>
      <c r="G13" s="7"/>
      <c r="H13" s="8"/>
    </row>
    <row r="14" spans="1:8" ht="28.8" x14ac:dyDescent="0.3">
      <c r="A14" s="8">
        <v>6</v>
      </c>
      <c r="B14" s="7" t="s">
        <v>29</v>
      </c>
      <c r="C14" s="8"/>
      <c r="D14" s="6"/>
      <c r="E14" s="7"/>
      <c r="F14" s="6"/>
      <c r="G14" s="7"/>
      <c r="H14" s="8"/>
    </row>
    <row r="15" spans="1:8" x14ac:dyDescent="0.3">
      <c r="A15" s="8">
        <v>7</v>
      </c>
      <c r="B15" s="7" t="s">
        <v>30</v>
      </c>
      <c r="C15" s="8"/>
      <c r="D15" s="6"/>
      <c r="E15" s="7"/>
      <c r="F15" s="6"/>
      <c r="G15" s="7"/>
      <c r="H15" s="8"/>
    </row>
    <row r="16" spans="1:8" x14ac:dyDescent="0.3">
      <c r="A16" s="8">
        <v>8</v>
      </c>
      <c r="B16" s="7" t="s">
        <v>31</v>
      </c>
      <c r="C16" s="8"/>
      <c r="D16" s="6"/>
      <c r="E16" s="7"/>
      <c r="F16" s="6"/>
      <c r="G16" s="7"/>
      <c r="H16" s="8"/>
    </row>
    <row r="17" spans="1:8" x14ac:dyDescent="0.3">
      <c r="A17" s="8">
        <v>9</v>
      </c>
      <c r="B17" s="7" t="s">
        <v>32</v>
      </c>
      <c r="C17" s="8"/>
      <c r="D17" s="6"/>
      <c r="E17" s="7"/>
      <c r="F17" s="6"/>
      <c r="G17" s="7"/>
      <c r="H17" s="8"/>
    </row>
    <row r="18" spans="1:8" x14ac:dyDescent="0.3">
      <c r="A18" s="8">
        <v>10</v>
      </c>
      <c r="B18" s="7" t="s">
        <v>33</v>
      </c>
      <c r="C18" s="8"/>
      <c r="D18" s="6"/>
      <c r="E18" s="7"/>
      <c r="F18" s="6"/>
      <c r="G18" s="7"/>
      <c r="H18" s="8"/>
    </row>
    <row r="19" spans="1:8" ht="28.8" x14ac:dyDescent="0.3">
      <c r="A19" s="8">
        <v>11</v>
      </c>
      <c r="B19" s="7" t="s">
        <v>34</v>
      </c>
      <c r="C19" s="8"/>
      <c r="D19" s="6"/>
      <c r="E19" s="7"/>
      <c r="F19" s="6"/>
      <c r="G19" s="7"/>
      <c r="H19" s="8"/>
    </row>
    <row r="20" spans="1:8" x14ac:dyDescent="0.3">
      <c r="A20" s="8">
        <v>12</v>
      </c>
      <c r="B20" s="7" t="s">
        <v>35</v>
      </c>
      <c r="C20" s="8"/>
      <c r="D20" s="6"/>
      <c r="E20" s="7"/>
      <c r="F20" s="6"/>
      <c r="G20" s="7"/>
      <c r="H20" s="8"/>
    </row>
    <row r="21" spans="1:8" x14ac:dyDescent="0.3">
      <c r="A21" s="8">
        <v>13</v>
      </c>
      <c r="B21" s="7" t="s">
        <v>36</v>
      </c>
      <c r="C21" s="8"/>
      <c r="D21" s="6"/>
      <c r="E21" s="7"/>
      <c r="F21" s="6"/>
      <c r="G21" s="7"/>
      <c r="H21" s="8"/>
    </row>
    <row r="22" spans="1:8" x14ac:dyDescent="0.3">
      <c r="A22" s="8">
        <v>14</v>
      </c>
      <c r="B22" s="7" t="s">
        <v>37</v>
      </c>
      <c r="C22" s="8"/>
      <c r="D22" s="6"/>
      <c r="E22" s="7"/>
      <c r="F22" s="6"/>
      <c r="G22" s="7"/>
      <c r="H22" s="8"/>
    </row>
    <row r="23" spans="1:8" ht="28.8" x14ac:dyDescent="0.3">
      <c r="A23" s="8">
        <v>15</v>
      </c>
      <c r="B23" s="7" t="s">
        <v>38</v>
      </c>
      <c r="C23" s="8"/>
      <c r="D23" s="6"/>
      <c r="E23" s="7"/>
      <c r="F23" s="6"/>
      <c r="G23" s="7"/>
      <c r="H23" s="8"/>
    </row>
    <row r="24" spans="1:8" x14ac:dyDescent="0.3">
      <c r="A24" s="8">
        <v>16</v>
      </c>
      <c r="B24" s="7" t="s">
        <v>39</v>
      </c>
      <c r="C24" s="8"/>
      <c r="D24" s="6"/>
      <c r="E24" s="7"/>
      <c r="F24" s="6"/>
      <c r="G24" s="7"/>
      <c r="H24" s="8"/>
    </row>
    <row r="25" spans="1:8" x14ac:dyDescent="0.3">
      <c r="A25" s="8">
        <v>17</v>
      </c>
      <c r="B25" s="7" t="s">
        <v>40</v>
      </c>
      <c r="C25" s="8"/>
      <c r="D25" s="6"/>
      <c r="E25" s="7"/>
      <c r="F25" s="6"/>
      <c r="G25" s="7"/>
      <c r="H25" s="8"/>
    </row>
    <row r="26" spans="1:8" x14ac:dyDescent="0.3">
      <c r="A26" s="8">
        <v>18</v>
      </c>
      <c r="B26" s="7" t="s">
        <v>19</v>
      </c>
      <c r="C26" s="8"/>
      <c r="D26" s="6"/>
      <c r="E26" s="7"/>
      <c r="F26" s="6"/>
      <c r="G26" s="7"/>
      <c r="H26" s="8"/>
    </row>
    <row r="27" spans="1:8" x14ac:dyDescent="0.3">
      <c r="A27" s="8">
        <v>19</v>
      </c>
      <c r="B27" s="7" t="s">
        <v>20</v>
      </c>
      <c r="C27" s="8"/>
      <c r="D27" s="6"/>
      <c r="E27" s="7"/>
      <c r="F27" s="6"/>
      <c r="G27" s="7"/>
      <c r="H27" s="8"/>
    </row>
    <row r="28" spans="1:8" x14ac:dyDescent="0.3">
      <c r="A28" s="8">
        <v>20</v>
      </c>
      <c r="B28" s="7" t="s">
        <v>41</v>
      </c>
      <c r="C28" s="8"/>
      <c r="D28" s="6"/>
      <c r="E28" s="7"/>
      <c r="F28" s="6"/>
      <c r="G28" s="7"/>
      <c r="H28" s="8"/>
    </row>
    <row r="30" spans="1:8" x14ac:dyDescent="0.3">
      <c r="B30" s="10"/>
      <c r="C30" s="10"/>
    </row>
    <row r="31" spans="1:8" x14ac:dyDescent="0.3">
      <c r="B31" s="20" t="s">
        <v>120</v>
      </c>
      <c r="C31" s="4"/>
    </row>
    <row r="32" spans="1:8" x14ac:dyDescent="0.3">
      <c r="B32" s="4" t="s">
        <v>121</v>
      </c>
      <c r="C32" s="4">
        <f>COUNTA($B$9:$B$28)</f>
        <v>20</v>
      </c>
    </row>
    <row r="33" spans="2:3" x14ac:dyDescent="0.3">
      <c r="B33" s="4" t="s">
        <v>122</v>
      </c>
      <c r="C33" s="4">
        <f>COUNTIF($C$9:$C$28,"N/A")</f>
        <v>0</v>
      </c>
    </row>
    <row r="34" spans="2:3" x14ac:dyDescent="0.3">
      <c r="B34" s="4" t="s">
        <v>123</v>
      </c>
      <c r="C34" s="4">
        <f>C32-C33</f>
        <v>20</v>
      </c>
    </row>
    <row r="35" spans="2:3" x14ac:dyDescent="0.3">
      <c r="B35" s="4" t="s">
        <v>124</v>
      </c>
      <c r="C35" s="4">
        <f>COUNTIF($C$9:$C$28,"C")</f>
        <v>0</v>
      </c>
    </row>
    <row r="36" spans="2:3" x14ac:dyDescent="0.3">
      <c r="B36" s="4" t="s">
        <v>125</v>
      </c>
      <c r="C36" s="4">
        <f>COUNTIF($C$9:$C$28,"NC")</f>
        <v>0</v>
      </c>
    </row>
    <row r="37" spans="2:3" x14ac:dyDescent="0.3">
      <c r="B37" s="4" t="s">
        <v>126</v>
      </c>
      <c r="C37" s="15" t="str">
        <f>IF(OR(C34=0,COUNTA($C$9:$C$28)=0),"",C35/C34)</f>
        <v/>
      </c>
    </row>
    <row r="38" spans="2:3" x14ac:dyDescent="0.3">
      <c r="B38" s="4" t="s">
        <v>23</v>
      </c>
      <c r="C38" s="4" t="str">
        <f>IF(C37="","",IF(C37&gt;=0.91,"91-100%",IF(C37&gt;=0.61,"61-90%","0-60%")))</f>
        <v/>
      </c>
    </row>
    <row r="39" spans="2:3" x14ac:dyDescent="0.3">
      <c r="B39" s="4"/>
      <c r="C39" s="4"/>
    </row>
    <row r="40" spans="2:3" x14ac:dyDescent="0.3">
      <c r="B40" s="20" t="s">
        <v>127</v>
      </c>
      <c r="C40" s="4"/>
    </row>
    <row r="41" spans="2:3" x14ac:dyDescent="0.3">
      <c r="B41" s="4" t="s">
        <v>128</v>
      </c>
      <c r="C41" s="4" t="s">
        <v>129</v>
      </c>
    </row>
    <row r="42" spans="2:3" x14ac:dyDescent="0.3">
      <c r="B42" s="4" t="s">
        <v>130</v>
      </c>
      <c r="C42" s="4" t="s">
        <v>131</v>
      </c>
    </row>
    <row r="43" spans="2:3" x14ac:dyDescent="0.3">
      <c r="B43" s="4" t="s">
        <v>132</v>
      </c>
      <c r="C43" s="4" t="s">
        <v>133</v>
      </c>
    </row>
    <row r="44" spans="2:3" x14ac:dyDescent="0.3">
      <c r="B44" s="4"/>
      <c r="C44" s="4"/>
    </row>
    <row r="45" spans="2:3" x14ac:dyDescent="0.3">
      <c r="B45" s="4" t="s">
        <v>134</v>
      </c>
      <c r="C45" s="4" t="str">
        <f>C5</f>
        <v>André</v>
      </c>
    </row>
    <row r="46" spans="2:3" x14ac:dyDescent="0.3">
      <c r="B46" s="4" t="s">
        <v>135</v>
      </c>
      <c r="C46" s="5" t="str">
        <f>IF(C6="","",C6)</f>
        <v/>
      </c>
    </row>
    <row r="47" spans="2:3" x14ac:dyDescent="0.3">
      <c r="B47" s="4" t="s">
        <v>136</v>
      </c>
      <c r="C47" s="4"/>
    </row>
    <row r="48" spans="2:3" x14ac:dyDescent="0.3">
      <c r="B48" s="10"/>
      <c r="C48" s="25"/>
    </row>
  </sheetData>
  <mergeCells count="1">
    <mergeCell ref="B1:C1"/>
  </mergeCells>
  <dataValidations count="3">
    <dataValidation type="list" allowBlank="1" showInputMessage="1" showErrorMessage="1" sqref="C9:C28" xr:uid="{9CE3366C-0669-4D88-A214-55357929DA81}">
      <formula1>"C,NC,N/A"</formula1>
    </dataValidation>
    <dataValidation type="list" allowBlank="1" showInputMessage="1" showErrorMessage="1" sqref="H9:H28" xr:uid="{E1C3F3B0-557F-4D21-835D-5145268FF79F}">
      <formula1>"Aberta,Em resolução,Resolvida,Escalonada,Não se aplica"</formula1>
    </dataValidation>
    <dataValidation type="list" allowBlank="1" showInputMessage="1" showErrorMessage="1" sqref="F9:F28" xr:uid="{D2058048-C791-4307-A35E-E65F744F065F}">
      <formula1>#REF!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A7D64-696B-4F31-86B8-C797338AF623}">
  <dimension ref="A1:H48"/>
  <sheetViews>
    <sheetView zoomScale="70" zoomScaleNormal="70" workbookViewId="0">
      <selection activeCell="D20" sqref="D20"/>
    </sheetView>
  </sheetViews>
  <sheetFormatPr defaultRowHeight="14.4" x14ac:dyDescent="0.3"/>
  <cols>
    <col min="1" max="1" width="6.33203125" customWidth="1"/>
    <col min="2" max="2" width="74.109375" customWidth="1"/>
    <col min="3" max="3" width="47.77734375" bestFit="1" customWidth="1"/>
    <col min="4" max="4" width="37" customWidth="1"/>
    <col min="5" max="5" width="40.77734375" customWidth="1"/>
    <col min="6" max="6" width="27.77734375" customWidth="1"/>
    <col min="7" max="7" width="33.33203125" customWidth="1"/>
    <col min="8" max="8" width="20.33203125" customWidth="1"/>
  </cols>
  <sheetData>
    <row r="1" spans="1:8" x14ac:dyDescent="0.3">
      <c r="A1" s="1"/>
      <c r="B1" s="27" t="s">
        <v>117</v>
      </c>
      <c r="C1" s="27"/>
    </row>
    <row r="3" spans="1:8" x14ac:dyDescent="0.3">
      <c r="B3" s="12" t="s">
        <v>105</v>
      </c>
      <c r="C3" s="4" t="s">
        <v>106</v>
      </c>
    </row>
    <row r="4" spans="1:8" x14ac:dyDescent="0.3">
      <c r="B4" s="12" t="s">
        <v>107</v>
      </c>
      <c r="C4" s="4" t="s">
        <v>42</v>
      </c>
    </row>
    <row r="5" spans="1:8" x14ac:dyDescent="0.3">
      <c r="B5" s="12" t="s">
        <v>108</v>
      </c>
      <c r="C5" s="4" t="s">
        <v>101</v>
      </c>
    </row>
    <row r="6" spans="1:8" x14ac:dyDescent="0.3">
      <c r="B6" s="12" t="s">
        <v>109</v>
      </c>
      <c r="C6" s="5"/>
    </row>
    <row r="8" spans="1:8" ht="43.2" x14ac:dyDescent="0.3">
      <c r="A8" s="16" t="s">
        <v>1</v>
      </c>
      <c r="B8" s="16" t="s">
        <v>110</v>
      </c>
      <c r="C8" s="16" t="s">
        <v>2</v>
      </c>
      <c r="D8" s="16" t="s">
        <v>111</v>
      </c>
      <c r="E8" s="16" t="s">
        <v>112</v>
      </c>
      <c r="F8" s="16" t="s">
        <v>113</v>
      </c>
      <c r="G8" s="16" t="s">
        <v>114</v>
      </c>
      <c r="H8" s="16" t="s">
        <v>115</v>
      </c>
    </row>
    <row r="9" spans="1:8" ht="28.8" x14ac:dyDescent="0.3">
      <c r="A9" s="8">
        <v>1</v>
      </c>
      <c r="B9" s="7" t="s">
        <v>3</v>
      </c>
      <c r="C9" s="8"/>
      <c r="D9" s="6"/>
      <c r="E9" s="7"/>
      <c r="F9" s="6"/>
      <c r="G9" s="7"/>
      <c r="H9" s="8"/>
    </row>
    <row r="10" spans="1:8" x14ac:dyDescent="0.3">
      <c r="A10" s="8">
        <v>2</v>
      </c>
      <c r="B10" s="7" t="s">
        <v>43</v>
      </c>
      <c r="C10" s="8"/>
      <c r="D10" s="6"/>
      <c r="E10" s="7"/>
      <c r="F10" s="6"/>
      <c r="G10" s="7"/>
      <c r="H10" s="8"/>
    </row>
    <row r="11" spans="1:8" x14ac:dyDescent="0.3">
      <c r="A11" s="8">
        <v>3</v>
      </c>
      <c r="B11" s="7" t="s">
        <v>44</v>
      </c>
      <c r="C11" s="8"/>
      <c r="D11" s="6"/>
      <c r="E11" s="7"/>
      <c r="F11" s="6"/>
      <c r="G11" s="7"/>
      <c r="H11" s="8"/>
    </row>
    <row r="12" spans="1:8" x14ac:dyDescent="0.3">
      <c r="A12" s="8">
        <v>4</v>
      </c>
      <c r="B12" s="7" t="s">
        <v>45</v>
      </c>
      <c r="C12" s="8"/>
      <c r="D12" s="6"/>
      <c r="E12" s="7"/>
      <c r="F12" s="6"/>
      <c r="G12" s="7"/>
      <c r="H12" s="8"/>
    </row>
    <row r="13" spans="1:8" x14ac:dyDescent="0.3">
      <c r="A13" s="8">
        <v>5</v>
      </c>
      <c r="B13" s="7" t="s">
        <v>46</v>
      </c>
      <c r="C13" s="8"/>
      <c r="D13" s="6"/>
      <c r="E13" s="7"/>
      <c r="F13" s="6"/>
      <c r="G13" s="7"/>
      <c r="H13" s="8"/>
    </row>
    <row r="14" spans="1:8" x14ac:dyDescent="0.3">
      <c r="A14" s="8">
        <v>6</v>
      </c>
      <c r="B14" s="7" t="s">
        <v>47</v>
      </c>
      <c r="C14" s="8"/>
      <c r="D14" s="6"/>
      <c r="E14" s="7"/>
      <c r="F14" s="6"/>
      <c r="G14" s="7"/>
      <c r="H14" s="8"/>
    </row>
    <row r="15" spans="1:8" x14ac:dyDescent="0.3">
      <c r="A15" s="8">
        <v>7</v>
      </c>
      <c r="B15" s="7" t="s">
        <v>48</v>
      </c>
      <c r="C15" s="8"/>
      <c r="D15" s="6"/>
      <c r="E15" s="7"/>
      <c r="F15" s="6"/>
      <c r="G15" s="7"/>
      <c r="H15" s="8"/>
    </row>
    <row r="16" spans="1:8" x14ac:dyDescent="0.3">
      <c r="A16" s="8">
        <v>8</v>
      </c>
      <c r="B16" s="7" t="s">
        <v>49</v>
      </c>
      <c r="C16" s="8"/>
      <c r="D16" s="6"/>
      <c r="E16" s="7"/>
      <c r="F16" s="6"/>
      <c r="G16" s="7"/>
      <c r="H16" s="8"/>
    </row>
    <row r="17" spans="1:8" x14ac:dyDescent="0.3">
      <c r="A17" s="8">
        <v>9</v>
      </c>
      <c r="B17" s="7" t="s">
        <v>50</v>
      </c>
      <c r="C17" s="8"/>
      <c r="D17" s="6"/>
      <c r="E17" s="7"/>
      <c r="F17" s="6"/>
      <c r="G17" s="7"/>
      <c r="H17" s="8"/>
    </row>
    <row r="18" spans="1:8" ht="28.8" x14ac:dyDescent="0.3">
      <c r="A18" s="8">
        <v>10</v>
      </c>
      <c r="B18" s="7" t="s">
        <v>51</v>
      </c>
      <c r="C18" s="8"/>
      <c r="D18" s="6"/>
      <c r="E18" s="7"/>
      <c r="F18" s="6"/>
      <c r="G18" s="7"/>
      <c r="H18" s="8"/>
    </row>
    <row r="19" spans="1:8" x14ac:dyDescent="0.3">
      <c r="A19" s="8">
        <v>11</v>
      </c>
      <c r="B19" s="7" t="s">
        <v>52</v>
      </c>
      <c r="C19" s="8"/>
      <c r="D19" s="6"/>
      <c r="E19" s="7"/>
      <c r="F19" s="6"/>
      <c r="G19" s="7"/>
      <c r="H19" s="8"/>
    </row>
    <row r="20" spans="1:8" ht="28.8" x14ac:dyDescent="0.3">
      <c r="A20" s="8">
        <v>12</v>
      </c>
      <c r="B20" s="7" t="s">
        <v>53</v>
      </c>
      <c r="C20" s="8"/>
      <c r="D20" s="6"/>
      <c r="E20" s="7"/>
      <c r="F20" s="6"/>
      <c r="G20" s="7"/>
      <c r="H20" s="8"/>
    </row>
    <row r="21" spans="1:8" x14ac:dyDescent="0.3">
      <c r="A21" s="8">
        <v>13</v>
      </c>
      <c r="B21" s="7" t="s">
        <v>54</v>
      </c>
      <c r="C21" s="8"/>
      <c r="D21" s="6"/>
      <c r="E21" s="7"/>
      <c r="F21" s="6"/>
      <c r="G21" s="7"/>
      <c r="H21" s="8"/>
    </row>
    <row r="22" spans="1:8" ht="28.8" x14ac:dyDescent="0.3">
      <c r="A22" s="8">
        <v>14</v>
      </c>
      <c r="B22" s="7" t="s">
        <v>55</v>
      </c>
      <c r="C22" s="8"/>
      <c r="D22" s="6"/>
      <c r="E22" s="7"/>
      <c r="F22" s="6"/>
      <c r="G22" s="7"/>
      <c r="H22" s="8"/>
    </row>
    <row r="23" spans="1:8" x14ac:dyDescent="0.3">
      <c r="A23" s="8">
        <v>15</v>
      </c>
      <c r="B23" s="7" t="s">
        <v>56</v>
      </c>
      <c r="C23" s="8"/>
      <c r="D23" s="6"/>
      <c r="E23" s="7"/>
      <c r="F23" s="6"/>
      <c r="G23" s="7"/>
      <c r="H23" s="8"/>
    </row>
    <row r="24" spans="1:8" x14ac:dyDescent="0.3">
      <c r="A24" s="8">
        <v>16</v>
      </c>
      <c r="B24" s="7" t="s">
        <v>57</v>
      </c>
      <c r="C24" s="8"/>
      <c r="D24" s="6"/>
      <c r="E24" s="7"/>
      <c r="F24" s="6"/>
      <c r="G24" s="7"/>
      <c r="H24" s="8"/>
    </row>
    <row r="25" spans="1:8" ht="28.8" x14ac:dyDescent="0.3">
      <c r="A25" s="8">
        <v>17</v>
      </c>
      <c r="B25" s="7" t="s">
        <v>58</v>
      </c>
      <c r="C25" s="8"/>
      <c r="D25" s="6"/>
      <c r="E25" s="7"/>
      <c r="F25" s="6"/>
      <c r="G25" s="7"/>
      <c r="H25" s="8"/>
    </row>
    <row r="26" spans="1:8" x14ac:dyDescent="0.3">
      <c r="A26" s="8">
        <v>18</v>
      </c>
      <c r="B26" s="7" t="s">
        <v>59</v>
      </c>
      <c r="C26" s="8"/>
      <c r="D26" s="6"/>
      <c r="E26" s="7"/>
      <c r="F26" s="6"/>
      <c r="G26" s="7"/>
      <c r="H26" s="8"/>
    </row>
    <row r="27" spans="1:8" x14ac:dyDescent="0.3">
      <c r="A27" s="8">
        <v>19</v>
      </c>
      <c r="B27" s="7" t="s">
        <v>60</v>
      </c>
      <c r="C27" s="8"/>
      <c r="D27" s="6"/>
      <c r="E27" s="7"/>
      <c r="F27" s="6"/>
      <c r="G27" s="7"/>
      <c r="H27" s="8"/>
    </row>
    <row r="28" spans="1:8" x14ac:dyDescent="0.3">
      <c r="A28" s="8">
        <v>20</v>
      </c>
      <c r="B28" s="7" t="s">
        <v>41</v>
      </c>
      <c r="C28" s="8"/>
      <c r="D28" s="6"/>
      <c r="E28" s="7"/>
      <c r="F28" s="6"/>
      <c r="G28" s="7"/>
      <c r="H28" s="8"/>
    </row>
    <row r="30" spans="1:8" x14ac:dyDescent="0.3">
      <c r="B30" s="20" t="s">
        <v>120</v>
      </c>
      <c r="C30" s="4"/>
    </row>
    <row r="31" spans="1:8" x14ac:dyDescent="0.3">
      <c r="B31" s="4" t="s">
        <v>121</v>
      </c>
      <c r="C31" s="4">
        <f>COUNTA($B$9:$B$28)</f>
        <v>20</v>
      </c>
    </row>
    <row r="32" spans="1:8" x14ac:dyDescent="0.3">
      <c r="B32" s="4" t="s">
        <v>122</v>
      </c>
      <c r="C32" s="4">
        <f>COUNTIF($C$9:$C$28,"N/A")</f>
        <v>0</v>
      </c>
    </row>
    <row r="33" spans="2:3" x14ac:dyDescent="0.3">
      <c r="B33" s="4" t="s">
        <v>123</v>
      </c>
      <c r="C33" s="4">
        <f>C31-C32</f>
        <v>20</v>
      </c>
    </row>
    <row r="34" spans="2:3" x14ac:dyDescent="0.3">
      <c r="B34" s="4" t="s">
        <v>124</v>
      </c>
      <c r="C34" s="4">
        <f>COUNTIF($C$9:$C$28,"C")</f>
        <v>0</v>
      </c>
    </row>
    <row r="35" spans="2:3" x14ac:dyDescent="0.3">
      <c r="B35" s="4" t="s">
        <v>125</v>
      </c>
      <c r="C35" s="4">
        <f>COUNTIF($C$9:$C$28,"NC")</f>
        <v>0</v>
      </c>
    </row>
    <row r="36" spans="2:3" x14ac:dyDescent="0.3">
      <c r="B36" s="4" t="s">
        <v>126</v>
      </c>
      <c r="C36" s="15" t="str">
        <f>IF(OR(C33=0,COUNTA($C$9:$C$28)=0),"",C34/C33)</f>
        <v/>
      </c>
    </row>
    <row r="37" spans="2:3" x14ac:dyDescent="0.3">
      <c r="B37" s="4" t="s">
        <v>23</v>
      </c>
      <c r="C37" s="4" t="str">
        <f>IF(C36="","",IF(C36&gt;=0.91,"91-100%",IF(C36&gt;=0.61,"61-90%","0-60%")))</f>
        <v/>
      </c>
    </row>
    <row r="38" spans="2:3" x14ac:dyDescent="0.3">
      <c r="B38" s="4"/>
      <c r="C38" s="4"/>
    </row>
    <row r="39" spans="2:3" x14ac:dyDescent="0.3">
      <c r="B39" s="20" t="s">
        <v>127</v>
      </c>
      <c r="C39" s="4"/>
    </row>
    <row r="40" spans="2:3" x14ac:dyDescent="0.3">
      <c r="B40" s="4" t="s">
        <v>128</v>
      </c>
      <c r="C40" s="4" t="s">
        <v>129</v>
      </c>
    </row>
    <row r="41" spans="2:3" x14ac:dyDescent="0.3">
      <c r="B41" s="4" t="s">
        <v>130</v>
      </c>
      <c r="C41" s="4" t="s">
        <v>131</v>
      </c>
    </row>
    <row r="42" spans="2:3" x14ac:dyDescent="0.3">
      <c r="B42" s="4" t="s">
        <v>132</v>
      </c>
      <c r="C42" s="4" t="s">
        <v>133</v>
      </c>
    </row>
    <row r="43" spans="2:3" x14ac:dyDescent="0.3">
      <c r="B43" s="4"/>
      <c r="C43" s="4"/>
    </row>
    <row r="44" spans="2:3" x14ac:dyDescent="0.3">
      <c r="B44" s="4" t="s">
        <v>134</v>
      </c>
      <c r="C44" s="4" t="str">
        <f>C5</f>
        <v>André</v>
      </c>
    </row>
    <row r="45" spans="2:3" x14ac:dyDescent="0.3">
      <c r="B45" s="4" t="s">
        <v>135</v>
      </c>
      <c r="C45" s="5" t="str">
        <f>IF(C6="","",C6)</f>
        <v/>
      </c>
    </row>
    <row r="46" spans="2:3" x14ac:dyDescent="0.3">
      <c r="B46" s="4" t="s">
        <v>136</v>
      </c>
      <c r="C46" s="4"/>
    </row>
    <row r="47" spans="2:3" x14ac:dyDescent="0.3">
      <c r="B47" s="2"/>
      <c r="C47" s="9"/>
    </row>
    <row r="48" spans="2:3" x14ac:dyDescent="0.3">
      <c r="B48" s="10"/>
      <c r="C48" s="25"/>
    </row>
  </sheetData>
  <mergeCells count="1">
    <mergeCell ref="B1:C1"/>
  </mergeCells>
  <dataValidations count="3">
    <dataValidation type="list" allowBlank="1" showInputMessage="1" showErrorMessage="1" sqref="C9:C28" xr:uid="{EC12BBED-8617-4029-B81E-AC1F19E35A27}">
      <formula1>"C,NC,N/A"</formula1>
    </dataValidation>
    <dataValidation type="list" allowBlank="1" showInputMessage="1" showErrorMessage="1" sqref="H9:H28" xr:uid="{83AD3024-9E1F-41DD-ABF9-587CF6FE6286}">
      <formula1>"Aberta,Em resolução,Resolvida,Escalonada,Não se aplica"</formula1>
    </dataValidation>
    <dataValidation type="list" allowBlank="1" showInputMessage="1" showErrorMessage="1" sqref="F9:F28" xr:uid="{9E241BF0-8DA7-482A-8BCA-24C11689652C}">
      <formula1>$B$47:$B$47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C8CB5-2F53-4383-98BF-DC0CE66B9C90}">
  <dimension ref="A1:H48"/>
  <sheetViews>
    <sheetView zoomScale="40" zoomScaleNormal="40" workbookViewId="0">
      <pane ySplit="8" topLeftCell="A9" activePane="bottomLeft" state="frozen"/>
      <selection pane="bottomLeft" activeCell="B39" sqref="B39"/>
    </sheetView>
  </sheetViews>
  <sheetFormatPr defaultRowHeight="14.4" x14ac:dyDescent="0.3"/>
  <cols>
    <col min="1" max="1" width="6.33203125" customWidth="1"/>
    <col min="2" max="2" width="74.109375" customWidth="1"/>
    <col min="3" max="3" width="53.33203125" bestFit="1" customWidth="1"/>
    <col min="4" max="4" width="37" customWidth="1"/>
    <col min="5" max="5" width="40.77734375" customWidth="1"/>
    <col min="6" max="6" width="27.77734375" customWidth="1"/>
    <col min="7" max="7" width="33.33203125" customWidth="1"/>
    <col min="8" max="8" width="20.33203125" customWidth="1"/>
  </cols>
  <sheetData>
    <row r="1" spans="1:8" x14ac:dyDescent="0.3">
      <c r="A1" s="1"/>
      <c r="B1" s="27" t="s">
        <v>118</v>
      </c>
      <c r="C1" s="27"/>
    </row>
    <row r="3" spans="1:8" x14ac:dyDescent="0.3">
      <c r="B3" s="12" t="s">
        <v>105</v>
      </c>
      <c r="C3" s="4" t="s">
        <v>106</v>
      </c>
    </row>
    <row r="4" spans="1:8" x14ac:dyDescent="0.3">
      <c r="B4" s="12" t="s">
        <v>107</v>
      </c>
      <c r="C4" s="4" t="s">
        <v>61</v>
      </c>
    </row>
    <row r="5" spans="1:8" x14ac:dyDescent="0.3">
      <c r="B5" s="12" t="s">
        <v>108</v>
      </c>
      <c r="C5" s="4" t="s">
        <v>102</v>
      </c>
    </row>
    <row r="6" spans="1:8" x14ac:dyDescent="0.3">
      <c r="B6" s="12" t="s">
        <v>109</v>
      </c>
      <c r="C6" s="5"/>
    </row>
    <row r="8" spans="1:8" ht="43.2" x14ac:dyDescent="0.3">
      <c r="A8" s="16" t="s">
        <v>1</v>
      </c>
      <c r="B8" s="16" t="s">
        <v>110</v>
      </c>
      <c r="C8" s="16" t="s">
        <v>2</v>
      </c>
      <c r="D8" s="16" t="s">
        <v>111</v>
      </c>
      <c r="E8" s="16" t="s">
        <v>112</v>
      </c>
      <c r="F8" s="16" t="s">
        <v>113</v>
      </c>
      <c r="G8" s="16" t="s">
        <v>114</v>
      </c>
      <c r="H8" s="16" t="s">
        <v>115</v>
      </c>
    </row>
    <row r="9" spans="1:8" ht="28.8" x14ac:dyDescent="0.3">
      <c r="A9" s="8">
        <v>1</v>
      </c>
      <c r="B9" s="7" t="s">
        <v>3</v>
      </c>
      <c r="C9" s="8"/>
      <c r="D9" s="6"/>
      <c r="E9" s="7"/>
      <c r="F9" s="6"/>
      <c r="G9" s="7"/>
      <c r="H9" s="8"/>
    </row>
    <row r="10" spans="1:8" x14ac:dyDescent="0.3">
      <c r="A10" s="8">
        <v>2</v>
      </c>
      <c r="B10" s="7" t="s">
        <v>62</v>
      </c>
      <c r="C10" s="8"/>
      <c r="D10" s="6"/>
      <c r="E10" s="7"/>
      <c r="F10" s="6"/>
      <c r="G10" s="7"/>
      <c r="H10" s="8"/>
    </row>
    <row r="11" spans="1:8" x14ac:dyDescent="0.3">
      <c r="A11" s="8">
        <v>3</v>
      </c>
      <c r="B11" s="7" t="s">
        <v>63</v>
      </c>
      <c r="C11" s="8"/>
      <c r="D11" s="6"/>
      <c r="E11" s="7"/>
      <c r="F11" s="6"/>
      <c r="G11" s="7"/>
      <c r="H11" s="8"/>
    </row>
    <row r="12" spans="1:8" x14ac:dyDescent="0.3">
      <c r="A12" s="8">
        <v>4</v>
      </c>
      <c r="B12" s="7" t="s">
        <v>64</v>
      </c>
      <c r="C12" s="8"/>
      <c r="D12" s="6"/>
      <c r="E12" s="7"/>
      <c r="F12" s="6"/>
      <c r="G12" s="7"/>
      <c r="H12" s="8"/>
    </row>
    <row r="13" spans="1:8" x14ac:dyDescent="0.3">
      <c r="A13" s="8">
        <v>5</v>
      </c>
      <c r="B13" s="7" t="s">
        <v>65</v>
      </c>
      <c r="C13" s="8"/>
      <c r="D13" s="6"/>
      <c r="E13" s="7"/>
      <c r="F13" s="6"/>
      <c r="G13" s="7"/>
      <c r="H13" s="8"/>
    </row>
    <row r="14" spans="1:8" x14ac:dyDescent="0.3">
      <c r="A14" s="8">
        <v>6</v>
      </c>
      <c r="B14" s="7" t="s">
        <v>66</v>
      </c>
      <c r="C14" s="8"/>
      <c r="D14" s="6"/>
      <c r="E14" s="7"/>
      <c r="F14" s="6"/>
      <c r="G14" s="7"/>
      <c r="H14" s="8"/>
    </row>
    <row r="15" spans="1:8" ht="28.8" x14ac:dyDescent="0.3">
      <c r="A15" s="8">
        <v>7</v>
      </c>
      <c r="B15" s="7" t="s">
        <v>67</v>
      </c>
      <c r="C15" s="8"/>
      <c r="D15" s="6"/>
      <c r="E15" s="7"/>
      <c r="F15" s="6"/>
      <c r="G15" s="7"/>
      <c r="H15" s="8"/>
    </row>
    <row r="16" spans="1:8" ht="28.8" x14ac:dyDescent="0.3">
      <c r="A16" s="8">
        <v>8</v>
      </c>
      <c r="B16" s="7" t="s">
        <v>68</v>
      </c>
      <c r="C16" s="8"/>
      <c r="D16" s="6"/>
      <c r="E16" s="7"/>
      <c r="F16" s="6"/>
      <c r="G16" s="7"/>
      <c r="H16" s="8"/>
    </row>
    <row r="17" spans="1:8" x14ac:dyDescent="0.3">
      <c r="A17" s="8">
        <v>9</v>
      </c>
      <c r="B17" s="7" t="s">
        <v>69</v>
      </c>
      <c r="C17" s="8"/>
      <c r="D17" s="6"/>
      <c r="E17" s="7"/>
      <c r="F17" s="6"/>
      <c r="G17" s="7"/>
      <c r="H17" s="8"/>
    </row>
    <row r="18" spans="1:8" x14ac:dyDescent="0.3">
      <c r="A18" s="8">
        <v>10</v>
      </c>
      <c r="B18" s="7" t="s">
        <v>70</v>
      </c>
      <c r="C18" s="8"/>
      <c r="D18" s="6"/>
      <c r="E18" s="7"/>
      <c r="F18" s="6"/>
      <c r="G18" s="7"/>
      <c r="H18" s="8"/>
    </row>
    <row r="19" spans="1:8" ht="28.8" x14ac:dyDescent="0.3">
      <c r="A19" s="8">
        <v>11</v>
      </c>
      <c r="B19" s="7" t="s">
        <v>71</v>
      </c>
      <c r="C19" s="8"/>
      <c r="D19" s="6"/>
      <c r="E19" s="7"/>
      <c r="F19" s="6"/>
      <c r="G19" s="7"/>
      <c r="H19" s="8"/>
    </row>
    <row r="20" spans="1:8" ht="28.8" x14ac:dyDescent="0.3">
      <c r="A20" s="8">
        <v>12</v>
      </c>
      <c r="B20" s="7" t="s">
        <v>72</v>
      </c>
      <c r="C20" s="8"/>
      <c r="D20" s="6"/>
      <c r="E20" s="7"/>
      <c r="F20" s="6"/>
      <c r="G20" s="7"/>
      <c r="H20" s="8"/>
    </row>
    <row r="21" spans="1:8" x14ac:dyDescent="0.3">
      <c r="A21" s="8">
        <v>13</v>
      </c>
      <c r="B21" s="7" t="s">
        <v>73</v>
      </c>
      <c r="C21" s="8"/>
      <c r="D21" s="6"/>
      <c r="E21" s="7"/>
      <c r="F21" s="6"/>
      <c r="G21" s="7"/>
      <c r="H21" s="8"/>
    </row>
    <row r="22" spans="1:8" ht="28.8" x14ac:dyDescent="0.3">
      <c r="A22" s="8">
        <v>14</v>
      </c>
      <c r="B22" s="7" t="s">
        <v>74</v>
      </c>
      <c r="C22" s="8"/>
      <c r="D22" s="6"/>
      <c r="E22" s="7"/>
      <c r="F22" s="6"/>
      <c r="G22" s="7"/>
      <c r="H22" s="8"/>
    </row>
    <row r="23" spans="1:8" ht="28.8" x14ac:dyDescent="0.3">
      <c r="A23" s="8">
        <v>15</v>
      </c>
      <c r="B23" s="7" t="s">
        <v>75</v>
      </c>
      <c r="C23" s="8"/>
      <c r="D23" s="6"/>
      <c r="E23" s="7"/>
      <c r="F23" s="6"/>
      <c r="G23" s="7"/>
      <c r="H23" s="8"/>
    </row>
    <row r="24" spans="1:8" x14ac:dyDescent="0.3">
      <c r="A24" s="8">
        <v>16</v>
      </c>
      <c r="B24" s="7" t="s">
        <v>76</v>
      </c>
      <c r="C24" s="8"/>
      <c r="D24" s="6"/>
      <c r="E24" s="7"/>
      <c r="F24" s="6"/>
      <c r="G24" s="7"/>
      <c r="H24" s="8"/>
    </row>
    <row r="25" spans="1:8" x14ac:dyDescent="0.3">
      <c r="A25" s="8">
        <v>17</v>
      </c>
      <c r="B25" s="7" t="s">
        <v>77</v>
      </c>
      <c r="C25" s="8"/>
      <c r="D25" s="6"/>
      <c r="E25" s="7"/>
      <c r="F25" s="6"/>
      <c r="G25" s="7"/>
      <c r="H25" s="8"/>
    </row>
    <row r="26" spans="1:8" x14ac:dyDescent="0.3">
      <c r="A26" s="8">
        <v>18</v>
      </c>
      <c r="B26" s="7" t="s">
        <v>78</v>
      </c>
      <c r="C26" s="8"/>
      <c r="D26" s="6"/>
      <c r="E26" s="7"/>
      <c r="F26" s="6"/>
      <c r="G26" s="7"/>
      <c r="H26" s="8"/>
    </row>
    <row r="27" spans="1:8" ht="28.8" x14ac:dyDescent="0.3">
      <c r="A27" s="8">
        <v>19</v>
      </c>
      <c r="B27" s="7" t="s">
        <v>79</v>
      </c>
      <c r="C27" s="8"/>
      <c r="D27" s="6"/>
      <c r="E27" s="7"/>
      <c r="F27" s="6"/>
      <c r="G27" s="7"/>
      <c r="H27" s="8"/>
    </row>
    <row r="28" spans="1:8" ht="28.8" x14ac:dyDescent="0.3">
      <c r="A28" s="8">
        <v>20</v>
      </c>
      <c r="B28" s="7" t="s">
        <v>80</v>
      </c>
      <c r="C28" s="8"/>
      <c r="D28" s="6"/>
      <c r="E28" s="7"/>
      <c r="F28" s="6"/>
      <c r="G28" s="7"/>
      <c r="H28" s="8"/>
    </row>
    <row r="30" spans="1:8" x14ac:dyDescent="0.3">
      <c r="B30" s="20" t="s">
        <v>120</v>
      </c>
      <c r="C30" s="4"/>
    </row>
    <row r="31" spans="1:8" x14ac:dyDescent="0.3">
      <c r="B31" s="4" t="s">
        <v>121</v>
      </c>
      <c r="C31" s="4">
        <f>COUNTA($B$9:$B$28)</f>
        <v>20</v>
      </c>
    </row>
    <row r="32" spans="1:8" x14ac:dyDescent="0.3">
      <c r="B32" s="4" t="s">
        <v>122</v>
      </c>
      <c r="C32" s="4">
        <f>COUNTIF($C$9:$C$28,"N/A")</f>
        <v>0</v>
      </c>
    </row>
    <row r="33" spans="2:3" x14ac:dyDescent="0.3">
      <c r="B33" s="4" t="s">
        <v>123</v>
      </c>
      <c r="C33" s="4">
        <f>C31-C32</f>
        <v>20</v>
      </c>
    </row>
    <row r="34" spans="2:3" x14ac:dyDescent="0.3">
      <c r="B34" s="4" t="s">
        <v>124</v>
      </c>
      <c r="C34" s="4">
        <f>COUNTIF($C$9:$C$28,"C")</f>
        <v>0</v>
      </c>
    </row>
    <row r="35" spans="2:3" x14ac:dyDescent="0.3">
      <c r="B35" s="4" t="s">
        <v>125</v>
      </c>
      <c r="C35" s="4">
        <f>COUNTIF($C$9:$C$28,"NC")</f>
        <v>0</v>
      </c>
    </row>
    <row r="36" spans="2:3" x14ac:dyDescent="0.3">
      <c r="B36" s="4" t="s">
        <v>126</v>
      </c>
      <c r="C36" s="15" t="str">
        <f>IF(OR(C33=0,COUNTA($C$9:$C$28)=0),"",C34/C33)</f>
        <v/>
      </c>
    </row>
    <row r="37" spans="2:3" x14ac:dyDescent="0.3">
      <c r="B37" s="4" t="s">
        <v>23</v>
      </c>
      <c r="C37" s="4" t="str">
        <f>IF(C36="","",IF(C36&gt;=0.91,"91-100%",IF(C36&gt;=0.61,"61-90%","0-60%")))</f>
        <v/>
      </c>
    </row>
    <row r="38" spans="2:3" x14ac:dyDescent="0.3">
      <c r="B38" s="4"/>
      <c r="C38" s="4"/>
    </row>
    <row r="39" spans="2:3" x14ac:dyDescent="0.3">
      <c r="B39" s="20" t="s">
        <v>127</v>
      </c>
      <c r="C39" s="4"/>
    </row>
    <row r="40" spans="2:3" x14ac:dyDescent="0.3">
      <c r="B40" s="4" t="s">
        <v>128</v>
      </c>
      <c r="C40" s="4" t="s">
        <v>129</v>
      </c>
    </row>
    <row r="41" spans="2:3" x14ac:dyDescent="0.3">
      <c r="B41" s="4" t="s">
        <v>130</v>
      </c>
      <c r="C41" s="4" t="s">
        <v>131</v>
      </c>
    </row>
    <row r="42" spans="2:3" x14ac:dyDescent="0.3">
      <c r="B42" s="4" t="s">
        <v>132</v>
      </c>
      <c r="C42" s="4" t="s">
        <v>133</v>
      </c>
    </row>
    <row r="43" spans="2:3" x14ac:dyDescent="0.3">
      <c r="B43" s="4"/>
      <c r="C43" s="4"/>
    </row>
    <row r="44" spans="2:3" x14ac:dyDescent="0.3">
      <c r="B44" s="4" t="s">
        <v>134</v>
      </c>
      <c r="C44" s="4" t="str">
        <f>C5</f>
        <v>Eduardo</v>
      </c>
    </row>
    <row r="45" spans="2:3" x14ac:dyDescent="0.3">
      <c r="B45" s="4" t="s">
        <v>135</v>
      </c>
      <c r="C45" s="5" t="str">
        <f>IF(C6="","",C6)</f>
        <v/>
      </c>
    </row>
    <row r="46" spans="2:3" x14ac:dyDescent="0.3">
      <c r="B46" s="4" t="s">
        <v>136</v>
      </c>
      <c r="C46" s="4"/>
    </row>
    <row r="47" spans="2:3" x14ac:dyDescent="0.3">
      <c r="B47" s="2"/>
      <c r="C47" s="9"/>
    </row>
    <row r="48" spans="2:3" x14ac:dyDescent="0.3">
      <c r="B48" s="10"/>
      <c r="C48" s="25"/>
    </row>
  </sheetData>
  <mergeCells count="1">
    <mergeCell ref="B1:C1"/>
  </mergeCells>
  <dataValidations count="3">
    <dataValidation type="list" allowBlank="1" showInputMessage="1" showErrorMessage="1" sqref="C9:C28" xr:uid="{0E844BC2-B66E-48AF-9AB2-4FCABFC980E8}">
      <formula1>"C,NC,N/A"</formula1>
    </dataValidation>
    <dataValidation type="list" allowBlank="1" showInputMessage="1" showErrorMessage="1" sqref="H9:H28" xr:uid="{8FBBC156-A0DD-4E9D-B040-1F99DD94386F}">
      <formula1>"Aberta,Em resolução,Resolvida,Escalonada,Não se aplica"</formula1>
    </dataValidation>
    <dataValidation type="list" allowBlank="1" showInputMessage="1" showErrorMessage="1" sqref="F9:F28" xr:uid="{8C54310D-3CFB-43DF-AA46-6170D5F49B92}">
      <formula1>$B$47:$B$47</formula1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4FD5D-96E1-40B9-96A2-BAB7ADA042FF}">
  <dimension ref="A1:H48"/>
  <sheetViews>
    <sheetView tabSelected="1" zoomScale="55" zoomScaleNormal="55" workbookViewId="0">
      <pane ySplit="8" topLeftCell="A9" activePane="bottomLeft" state="frozen"/>
      <selection pane="bottomLeft" activeCell="B39" sqref="B39"/>
    </sheetView>
  </sheetViews>
  <sheetFormatPr defaultRowHeight="14.4" x14ac:dyDescent="0.3"/>
  <cols>
    <col min="1" max="1" width="6.33203125" customWidth="1"/>
    <col min="2" max="2" width="74.109375" customWidth="1"/>
    <col min="3" max="3" width="71.6640625" bestFit="1" customWidth="1"/>
    <col min="4" max="4" width="37" customWidth="1"/>
    <col min="5" max="5" width="40.77734375" customWidth="1"/>
    <col min="6" max="6" width="27.77734375" customWidth="1"/>
    <col min="7" max="7" width="33.33203125" customWidth="1"/>
    <col min="8" max="8" width="20.33203125" customWidth="1"/>
  </cols>
  <sheetData>
    <row r="1" spans="1:8" x14ac:dyDescent="0.3">
      <c r="A1" s="1"/>
      <c r="B1" s="27" t="s">
        <v>119</v>
      </c>
      <c r="C1" s="27"/>
    </row>
    <row r="3" spans="1:8" x14ac:dyDescent="0.3">
      <c r="B3" s="12" t="s">
        <v>105</v>
      </c>
      <c r="C3" s="4" t="s">
        <v>106</v>
      </c>
    </row>
    <row r="4" spans="1:8" x14ac:dyDescent="0.3">
      <c r="B4" s="12" t="s">
        <v>107</v>
      </c>
      <c r="C4" s="4" t="s">
        <v>81</v>
      </c>
    </row>
    <row r="5" spans="1:8" x14ac:dyDescent="0.3">
      <c r="B5" s="12" t="s">
        <v>108</v>
      </c>
      <c r="C5" s="4" t="s">
        <v>103</v>
      </c>
    </row>
    <row r="6" spans="1:8" x14ac:dyDescent="0.3">
      <c r="B6" s="12" t="s">
        <v>109</v>
      </c>
      <c r="C6" s="5"/>
    </row>
    <row r="8" spans="1:8" ht="43.2" x14ac:dyDescent="0.3">
      <c r="A8" s="16" t="s">
        <v>1</v>
      </c>
      <c r="B8" s="16" t="s">
        <v>110</v>
      </c>
      <c r="C8" s="16" t="s">
        <v>2</v>
      </c>
      <c r="D8" s="16" t="s">
        <v>111</v>
      </c>
      <c r="E8" s="16" t="s">
        <v>112</v>
      </c>
      <c r="F8" s="16" t="s">
        <v>113</v>
      </c>
      <c r="G8" s="16" t="s">
        <v>114</v>
      </c>
      <c r="H8" s="16" t="s">
        <v>115</v>
      </c>
    </row>
    <row r="9" spans="1:8" ht="28.8" x14ac:dyDescent="0.3">
      <c r="A9" s="8">
        <v>1</v>
      </c>
      <c r="B9" s="7" t="s">
        <v>3</v>
      </c>
      <c r="C9" s="8"/>
      <c r="D9" s="6"/>
      <c r="E9" s="7"/>
      <c r="F9" s="6"/>
      <c r="G9" s="7"/>
      <c r="H9" s="8"/>
    </row>
    <row r="10" spans="1:8" x14ac:dyDescent="0.3">
      <c r="A10" s="8">
        <v>2</v>
      </c>
      <c r="B10" s="7" t="s">
        <v>82</v>
      </c>
      <c r="C10" s="8"/>
      <c r="D10" s="6"/>
      <c r="E10" s="7"/>
      <c r="F10" s="6"/>
      <c r="G10" s="7"/>
      <c r="H10" s="8"/>
    </row>
    <row r="11" spans="1:8" x14ac:dyDescent="0.3">
      <c r="A11" s="8">
        <v>3</v>
      </c>
      <c r="B11" s="7" t="s">
        <v>83</v>
      </c>
      <c r="C11" s="8"/>
      <c r="D11" s="6"/>
      <c r="E11" s="7"/>
      <c r="F11" s="6"/>
      <c r="G11" s="7"/>
      <c r="H11" s="8"/>
    </row>
    <row r="12" spans="1:8" ht="28.8" x14ac:dyDescent="0.3">
      <c r="A12" s="8">
        <v>4</v>
      </c>
      <c r="B12" s="7" t="s">
        <v>84</v>
      </c>
      <c r="C12" s="8"/>
      <c r="D12" s="6"/>
      <c r="E12" s="7"/>
      <c r="F12" s="6"/>
      <c r="G12" s="7"/>
      <c r="H12" s="8"/>
    </row>
    <row r="13" spans="1:8" x14ac:dyDescent="0.3">
      <c r="A13" s="8">
        <v>5</v>
      </c>
      <c r="B13" s="7" t="s">
        <v>85</v>
      </c>
      <c r="C13" s="8"/>
      <c r="D13" s="6"/>
      <c r="E13" s="7"/>
      <c r="F13" s="6"/>
      <c r="G13" s="7"/>
      <c r="H13" s="8"/>
    </row>
    <row r="14" spans="1:8" ht="28.8" x14ac:dyDescent="0.3">
      <c r="A14" s="8">
        <v>6</v>
      </c>
      <c r="B14" s="7" t="s">
        <v>86</v>
      </c>
      <c r="C14" s="8"/>
      <c r="D14" s="6"/>
      <c r="E14" s="7"/>
      <c r="F14" s="6"/>
      <c r="G14" s="7"/>
      <c r="H14" s="8"/>
    </row>
    <row r="15" spans="1:8" ht="28.8" x14ac:dyDescent="0.3">
      <c r="A15" s="8">
        <v>7</v>
      </c>
      <c r="B15" s="7" t="s">
        <v>87</v>
      </c>
      <c r="C15" s="8"/>
      <c r="D15" s="6"/>
      <c r="E15" s="7"/>
      <c r="F15" s="6"/>
      <c r="G15" s="7"/>
      <c r="H15" s="8"/>
    </row>
    <row r="16" spans="1:8" x14ac:dyDescent="0.3">
      <c r="A16" s="8">
        <v>8</v>
      </c>
      <c r="B16" s="7" t="s">
        <v>88</v>
      </c>
      <c r="C16" s="8"/>
      <c r="D16" s="6"/>
      <c r="E16" s="7"/>
      <c r="F16" s="6"/>
      <c r="G16" s="7"/>
      <c r="H16" s="8"/>
    </row>
    <row r="17" spans="1:8" x14ac:dyDescent="0.3">
      <c r="A17" s="8">
        <v>9</v>
      </c>
      <c r="B17" s="7" t="s">
        <v>89</v>
      </c>
      <c r="C17" s="8"/>
      <c r="D17" s="6"/>
      <c r="E17" s="7"/>
      <c r="F17" s="6"/>
      <c r="G17" s="7"/>
      <c r="H17" s="8"/>
    </row>
    <row r="18" spans="1:8" x14ac:dyDescent="0.3">
      <c r="A18" s="8">
        <v>10</v>
      </c>
      <c r="B18" s="7" t="s">
        <v>90</v>
      </c>
      <c r="C18" s="8"/>
      <c r="D18" s="6"/>
      <c r="E18" s="7"/>
      <c r="F18" s="6"/>
      <c r="G18" s="7"/>
      <c r="H18" s="8"/>
    </row>
    <row r="19" spans="1:8" x14ac:dyDescent="0.3">
      <c r="A19" s="8">
        <v>11</v>
      </c>
      <c r="B19" s="7" t="s">
        <v>91</v>
      </c>
      <c r="C19" s="8"/>
      <c r="D19" s="6"/>
      <c r="E19" s="7"/>
      <c r="F19" s="6"/>
      <c r="G19" s="7"/>
      <c r="H19" s="8"/>
    </row>
    <row r="20" spans="1:8" ht="28.8" x14ac:dyDescent="0.3">
      <c r="A20" s="8">
        <v>12</v>
      </c>
      <c r="B20" s="7" t="s">
        <v>92</v>
      </c>
      <c r="C20" s="8"/>
      <c r="D20" s="6"/>
      <c r="E20" s="7"/>
      <c r="F20" s="6"/>
      <c r="G20" s="7"/>
      <c r="H20" s="8"/>
    </row>
    <row r="21" spans="1:8" ht="28.8" x14ac:dyDescent="0.3">
      <c r="A21" s="8">
        <v>13</v>
      </c>
      <c r="B21" s="7" t="s">
        <v>93</v>
      </c>
      <c r="C21" s="8"/>
      <c r="D21" s="6"/>
      <c r="E21" s="7"/>
      <c r="F21" s="6"/>
      <c r="G21" s="7"/>
      <c r="H21" s="8"/>
    </row>
    <row r="22" spans="1:8" ht="28.8" x14ac:dyDescent="0.3">
      <c r="A22" s="8">
        <v>14</v>
      </c>
      <c r="B22" s="7" t="s">
        <v>94</v>
      </c>
      <c r="C22" s="8"/>
      <c r="D22" s="6"/>
      <c r="E22" s="7"/>
      <c r="F22" s="6"/>
      <c r="G22" s="7"/>
      <c r="H22" s="8"/>
    </row>
    <row r="23" spans="1:8" x14ac:dyDescent="0.3">
      <c r="A23" s="8">
        <v>15</v>
      </c>
      <c r="B23" s="7" t="s">
        <v>95</v>
      </c>
      <c r="C23" s="8"/>
      <c r="D23" s="6"/>
      <c r="E23" s="7"/>
      <c r="F23" s="6"/>
      <c r="G23" s="7"/>
      <c r="H23" s="8"/>
    </row>
    <row r="24" spans="1:8" x14ac:dyDescent="0.3">
      <c r="A24" s="8">
        <v>16</v>
      </c>
      <c r="B24" s="7" t="s">
        <v>96</v>
      </c>
      <c r="C24" s="8"/>
      <c r="D24" s="6"/>
      <c r="E24" s="7"/>
      <c r="F24" s="6"/>
      <c r="G24" s="7"/>
      <c r="H24" s="8"/>
    </row>
    <row r="25" spans="1:8" ht="28.8" x14ac:dyDescent="0.3">
      <c r="A25" s="8">
        <v>17</v>
      </c>
      <c r="B25" s="7" t="s">
        <v>97</v>
      </c>
      <c r="C25" s="8"/>
      <c r="D25" s="6"/>
      <c r="E25" s="7"/>
      <c r="F25" s="6"/>
      <c r="G25" s="7"/>
      <c r="H25" s="8"/>
    </row>
    <row r="26" spans="1:8" ht="28.8" x14ac:dyDescent="0.3">
      <c r="A26" s="8">
        <v>18</v>
      </c>
      <c r="B26" s="7" t="s">
        <v>98</v>
      </c>
      <c r="C26" s="8"/>
      <c r="D26" s="6"/>
      <c r="E26" s="7"/>
      <c r="F26" s="6"/>
      <c r="G26" s="7"/>
      <c r="H26" s="8"/>
    </row>
    <row r="27" spans="1:8" ht="28.8" x14ac:dyDescent="0.3">
      <c r="A27" s="8">
        <v>19</v>
      </c>
      <c r="B27" s="7" t="s">
        <v>99</v>
      </c>
      <c r="C27" s="8"/>
      <c r="D27" s="6"/>
      <c r="E27" s="7"/>
      <c r="F27" s="6"/>
      <c r="G27" s="7"/>
      <c r="H27" s="8"/>
    </row>
    <row r="28" spans="1:8" ht="28.8" x14ac:dyDescent="0.3">
      <c r="A28" s="8">
        <v>20</v>
      </c>
      <c r="B28" s="7" t="s">
        <v>100</v>
      </c>
      <c r="C28" s="8"/>
      <c r="D28" s="6"/>
      <c r="E28" s="7"/>
      <c r="F28" s="6"/>
      <c r="G28" s="7"/>
      <c r="H28" s="8"/>
    </row>
    <row r="30" spans="1:8" x14ac:dyDescent="0.3">
      <c r="B30" s="21" t="s">
        <v>120</v>
      </c>
      <c r="C30" s="4"/>
    </row>
    <row r="31" spans="1:8" x14ac:dyDescent="0.3">
      <c r="B31" s="3" t="s">
        <v>121</v>
      </c>
      <c r="C31" s="4">
        <f>COUNTA($B$9:$B$28)</f>
        <v>20</v>
      </c>
    </row>
    <row r="32" spans="1:8" x14ac:dyDescent="0.3">
      <c r="B32" s="3" t="s">
        <v>122</v>
      </c>
      <c r="C32" s="4">
        <f>COUNTIF($C$9:$C$28,"N/A")</f>
        <v>0</v>
      </c>
    </row>
    <row r="33" spans="2:3" x14ac:dyDescent="0.3">
      <c r="B33" s="3" t="s">
        <v>123</v>
      </c>
      <c r="C33" s="4">
        <f>C31-C32</f>
        <v>20</v>
      </c>
    </row>
    <row r="34" spans="2:3" x14ac:dyDescent="0.3">
      <c r="B34" s="3" t="s">
        <v>124</v>
      </c>
      <c r="C34" s="4">
        <f>COUNTIF($C$9:$C$28,"C")</f>
        <v>0</v>
      </c>
    </row>
    <row r="35" spans="2:3" x14ac:dyDescent="0.3">
      <c r="B35" s="3" t="s">
        <v>125</v>
      </c>
      <c r="C35" s="4">
        <f>COUNTIF($C$9:$C$28,"NC")</f>
        <v>0</v>
      </c>
    </row>
    <row r="36" spans="2:3" x14ac:dyDescent="0.3">
      <c r="B36" s="3" t="s">
        <v>126</v>
      </c>
      <c r="C36" s="15" t="str">
        <f>IF(OR(C33=0,COUNTA($C$9:$C$28)=0),"",C34/C33)</f>
        <v/>
      </c>
    </row>
    <row r="37" spans="2:3" x14ac:dyDescent="0.3">
      <c r="B37" s="3" t="s">
        <v>23</v>
      </c>
      <c r="C37" s="4" t="str">
        <f>IF(C36="","",IF(C36&gt;=0.91,"91-100%",IF(C36&gt;=0.61,"61-90%","0-60%")))</f>
        <v/>
      </c>
    </row>
    <row r="39" spans="2:3" x14ac:dyDescent="0.3">
      <c r="B39" s="21" t="s">
        <v>127</v>
      </c>
      <c r="C39" s="4"/>
    </row>
    <row r="40" spans="2:3" x14ac:dyDescent="0.3">
      <c r="B40" s="3" t="s">
        <v>128</v>
      </c>
      <c r="C40" s="4" t="s">
        <v>129</v>
      </c>
    </row>
    <row r="41" spans="2:3" x14ac:dyDescent="0.3">
      <c r="B41" s="3" t="s">
        <v>130</v>
      </c>
      <c r="C41" s="4" t="s">
        <v>131</v>
      </c>
    </row>
    <row r="42" spans="2:3" x14ac:dyDescent="0.3">
      <c r="B42" s="3" t="s">
        <v>132</v>
      </c>
      <c r="C42" s="4" t="s">
        <v>133</v>
      </c>
    </row>
    <row r="44" spans="2:3" x14ac:dyDescent="0.3">
      <c r="B44" s="3" t="s">
        <v>134</v>
      </c>
      <c r="C44" s="4" t="str">
        <f>C5</f>
        <v>Arthur</v>
      </c>
    </row>
    <row r="45" spans="2:3" x14ac:dyDescent="0.3">
      <c r="B45" s="3" t="s">
        <v>135</v>
      </c>
      <c r="C45" s="5" t="str">
        <f>IF(C6="","",C6)</f>
        <v/>
      </c>
    </row>
    <row r="46" spans="2:3" x14ac:dyDescent="0.3">
      <c r="B46" s="3" t="s">
        <v>136</v>
      </c>
      <c r="C46" s="4"/>
    </row>
    <row r="47" spans="2:3" x14ac:dyDescent="0.3">
      <c r="B47" s="2"/>
      <c r="C47" s="9"/>
    </row>
    <row r="48" spans="2:3" x14ac:dyDescent="0.3">
      <c r="B48" s="10"/>
      <c r="C48" s="25"/>
    </row>
  </sheetData>
  <mergeCells count="1">
    <mergeCell ref="B1:C1"/>
  </mergeCells>
  <dataValidations count="3">
    <dataValidation type="list" allowBlank="1" showInputMessage="1" showErrorMessage="1" sqref="C9:C28" xr:uid="{F7E15E75-27C8-4F38-A8E7-6DF9D6EE0FED}">
      <formula1>"C,NC,N/A"</formula1>
    </dataValidation>
    <dataValidation type="list" allowBlank="1" showInputMessage="1" showErrorMessage="1" sqref="H9:H28" xr:uid="{F83CCFC2-0AFB-4F97-9713-49CFB17FEBDE}">
      <formula1>"Aberta,Em resolução,Resolvida,Escalonada,Não se aplica"</formula1>
    </dataValidation>
    <dataValidation type="list" allowBlank="1" showInputMessage="1" showErrorMessage="1" sqref="F9:F28" xr:uid="{07AC807A-3A7A-46B0-ACB5-A4D2CCCD00C4}">
      <formula1>$B$47:$B$47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C1 - Art1 3 Objetivos</vt:lpstr>
      <vt:lpstr>C2 - Art3 Visao de Produto</vt:lpstr>
      <vt:lpstr>C3 - Art4 Canvas PBB</vt:lpstr>
      <vt:lpstr>C4 - Art5 User Stories</vt:lpstr>
      <vt:lpstr>C5 - Art6 Modelo Relacional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Felipe Forero Araujo</dc:creator>
  <cp:lastModifiedBy>André Felipe Forero Araujo</cp:lastModifiedBy>
  <dcterms:created xsi:type="dcterms:W3CDTF">2026-09-02T23:32:59Z</dcterms:created>
  <dcterms:modified xsi:type="dcterms:W3CDTF">2026-09-03T00:17:32Z</dcterms:modified>
</cp:coreProperties>
</file>