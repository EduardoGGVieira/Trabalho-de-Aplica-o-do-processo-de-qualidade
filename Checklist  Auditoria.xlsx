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-BR\Documents\PUCPR\4semestre\qualidade de software\ra1\"/>
    </mc:Choice>
  </mc:AlternateContent>
  <xr:revisionPtr revIDLastSave="0" documentId="8_{A87AC78F-3545-491E-95EF-695408D4F14E}" xr6:coauthVersionLast="47" xr6:coauthVersionMax="47" xr10:uidLastSave="{00000000-0000-0000-0000-000000000000}"/>
  <bookViews>
    <workbookView xWindow="-108" yWindow="-108" windowWidth="23256" windowHeight="12456" firstSheet="2" activeTab="2" xr2:uid="{8F922FCB-9B82-4780-BB07-5D91ADE8E9C4}"/>
  </bookViews>
  <sheets>
    <sheet name="C1 - Art1 3 Objetivos" sheetId="3" r:id="rId1"/>
    <sheet name="C2 - Art3 Visao de Produto" sheetId="10" r:id="rId2"/>
    <sheet name="C3 - Art4 Canvas PBB" sheetId="11" r:id="rId3"/>
    <sheet name="C4 - Art5 User Stories" sheetId="12" r:id="rId4"/>
    <sheet name="C5 - Art6 Modelo Relacional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5" i="3" l="1"/>
  <c r="C44" i="3"/>
  <c r="C35" i="3"/>
  <c r="C34" i="3"/>
  <c r="C32" i="3"/>
  <c r="C31" i="3"/>
  <c r="C45" i="13"/>
  <c r="C45" i="12"/>
  <c r="C45" i="11"/>
  <c r="C46" i="10"/>
  <c r="C31" i="13"/>
  <c r="C32" i="13"/>
  <c r="C33" i="13" s="1"/>
  <c r="C34" i="13"/>
  <c r="C35" i="13"/>
  <c r="C31" i="12"/>
  <c r="C32" i="12"/>
  <c r="C33" i="12" s="1"/>
  <c r="C34" i="12"/>
  <c r="C35" i="12"/>
  <c r="C31" i="11"/>
  <c r="C32" i="11"/>
  <c r="C34" i="11"/>
  <c r="C35" i="11"/>
  <c r="C32" i="10"/>
  <c r="C33" i="10"/>
  <c r="C35" i="10"/>
  <c r="C36" i="10"/>
  <c r="C36" i="13" l="1"/>
  <c r="C37" i="13" s="1"/>
  <c r="C36" i="12"/>
  <c r="C37" i="12" s="1"/>
  <c r="C33" i="3"/>
  <c r="C36" i="3" s="1"/>
  <c r="C37" i="3" s="1"/>
  <c r="C33" i="11"/>
  <c r="C34" i="10"/>
  <c r="C36" i="11" l="1"/>
  <c r="C37" i="10"/>
  <c r="C37" i="11" l="1"/>
  <c r="C38" i="10"/>
</calcChain>
</file>

<file path=xl/sharedStrings.xml><?xml version="1.0" encoding="utf-8"?>
<sst xmlns="http://schemas.openxmlformats.org/spreadsheetml/2006/main" count="871" uniqueCount="310">
  <si>
    <t>BES – Especificação do Projeto – JoinUp, seção Artefato 1, v1.0</t>
  </si>
  <si>
    <t>Nº</t>
  </si>
  <si>
    <t>Resultado</t>
  </si>
  <si>
    <t>O artefato está armazenado no local indicado na seção 3 do plano e é acessível à equipe auditora?</t>
  </si>
  <si>
    <t>O artefato identifica o nome do projeto e a versão do documento?</t>
  </si>
  <si>
    <t>O quadro apresenta exatamente três objetivos, conforme exigido pelo template?</t>
  </si>
  <si>
    <t>Cada objetivo está redigido em uma sentença única, clara e sem ambiguidade?</t>
  </si>
  <si>
    <t>Os objetivos estão expressos em linguagem de negócio, compreensível por stakeholders não técnicos?</t>
  </si>
  <si>
    <t>Os objetivos descrevem resultados esperados do produto, e não funcionalidades ou soluções técnicas?</t>
  </si>
  <si>
    <t>Os três objetivos são distintos entre si, sem sobreposição de conteúdo?</t>
  </si>
  <si>
    <t>Cada objetivo é mensurável ou verificável por algum indicador, ainda que qualitativo?</t>
  </si>
  <si>
    <t>Os objetivos são compatíveis com o escopo do projeto JoinUp descrito na Visão Geral?</t>
  </si>
  <si>
    <t>Os objetivos são coerentes com o quadro "é – não é – faz – não faz" (Artefato 2)?</t>
  </si>
  <si>
    <t>Os objetivos são coerentes com o quadro "Visão de Produto" (Artefato 3)?</t>
  </si>
  <si>
    <t>Cada objetivo pode ser rastreado a pelo menos um PBI do Canvas PBB (Artefato 4)?</t>
  </si>
  <si>
    <t>Os objetivos não contêm termos vagos e não quantificáveis (por exemplo, "melhor", "rápido", "moderno") sem definição?</t>
  </si>
  <si>
    <t>O artefato identifica o público-alvo ou o beneficiário associado aos objetivos?</t>
  </si>
  <si>
    <t>A ordem de prioridade ou a relevância relativa dos objetivos está indicada ou é dedutível?</t>
  </si>
  <si>
    <t>O artefato não apresenta objetivos conflitantes ou mutuamente excludentes?</t>
  </si>
  <si>
    <t>A formatação do quadro segue o template de referência (estrutura, títulos e numeração)?</t>
  </si>
  <si>
    <t>O artefato está livre de erros de ortografia, digitação e concordância?</t>
  </si>
  <si>
    <t>O artefato registra autoria e data de elaboração ou de última atualização?</t>
  </si>
  <si>
    <t>O artefato foi revisado ou aprovado pelo Responsável pelo Projeto antes da submissão à auditoria?</t>
  </si>
  <si>
    <t>Situação</t>
  </si>
  <si>
    <t>BES – Especificação do Projeto – JoinUp, seção Artefato 3, v1.0</t>
  </si>
  <si>
    <t>O quadro contempla todos os campos obrigatórios previstos no template de Visão de Produto?</t>
  </si>
  <si>
    <t>O nome do produto está declarado de forma explícita no quadro?</t>
  </si>
  <si>
    <t>O segmento de clientes ou público-alvo está identificado e caracterizado?</t>
  </si>
  <si>
    <t>A necessidade ou o problema que o produto resolve está descrito de forma objetiva?</t>
  </si>
  <si>
    <t>A categoria do produto está informada (por exemplo, rede social, marketplace, plataforma de eventos)?</t>
  </si>
  <si>
    <t>O benefício-chave oferecido ao usuário está declarado?</t>
  </si>
  <si>
    <t>O diferencial competitivo em relação a alternativas existentes está descrito?</t>
  </si>
  <si>
    <t>O quadro identifica os principais concorrentes ou soluções alternativas?</t>
  </si>
  <si>
    <t>As premissas e restrições do produto estão registradas, quando aplicável?</t>
  </si>
  <si>
    <t>Todos os campos do quadro estão preenchidos, sem lacunas ou marcadores de template remanescentes?</t>
  </si>
  <si>
    <t>A visão de produto é consistente com os três objetivos declarados no Artefato 1?</t>
  </si>
  <si>
    <t>A visão de produto é consistente com o quadro "é – não é – faz – não faz" (Artefato 2)?</t>
  </si>
  <si>
    <t>A visão de produto é rastreável às funcionalidades registradas no Canvas PBB (Artefato 4)?</t>
  </si>
  <si>
    <t>O conteúdo do quadro está redigido em linguagem clara, sem jargão técnico não explicado?</t>
  </si>
  <si>
    <t>O texto está livre de ambiguidades e de termos vagos sem definição?</t>
  </si>
  <si>
    <t>O escopo declarado é compatível com o prazo e com os recursos previstos para o projeto?</t>
  </si>
  <si>
    <t>O artefato registra autoria, versão e data de elaboração ou de última atualização?</t>
  </si>
  <si>
    <t>Repositório /docs/especificacao/ e Miro da equipe, v1.0</t>
  </si>
  <si>
    <t>O canvas utiliza o template oficial do PBB, com todas as raias previstas pela diretriz?</t>
  </si>
  <si>
    <t>A raia de Produto identifica o nome e o propósito do produto?</t>
  </si>
  <si>
    <t>As personas estão identificadas com nome e caracterização mínima?</t>
  </si>
  <si>
    <t>Cada persona possui ao menos uma necessidade ou expectativa associada?</t>
  </si>
  <si>
    <t>As necessidades registradas estão vinculadas a personas específicas, e não genéricas?</t>
  </si>
  <si>
    <t>Os PBIs (features) estão registrados de forma legível e individualizada?</t>
  </si>
  <si>
    <t>Cada PBI está associado a pelo menos uma necessidade ou persona?</t>
  </si>
  <si>
    <t>Os PBIs descrevem funcionalidades, e não tarefas técnicas de implementação?</t>
  </si>
  <si>
    <t>Os PBIs estão em nível de granularidade homogêneo, sem itens excessivamente amplos ou triviais?</t>
  </si>
  <si>
    <t>Não há PBIs duplicados ou com sobreposição de escopo?</t>
  </si>
  <si>
    <t>A raia de produtos/resultados esperados está preenchida e coerente com os objetivos do Artefato 1?</t>
  </si>
  <si>
    <t>As regras de negócio identificadas estão registradas na raia correspondente?</t>
  </si>
  <si>
    <t>Existem critérios de aceite ou notas de validação associados aos PBIs, quando previstos pela diretriz?</t>
  </si>
  <si>
    <t>Há indicação de priorização dos PBIs (ordem, MVP ou classificação equivalente)?</t>
  </si>
  <si>
    <t>Todo PBI do canvas possui user story correspondente no Artefato 5?</t>
  </si>
  <si>
    <t>Toda user story do Artefato 5 possui PBI correspondente no canvas (rastreabilidade bidirecional)?</t>
  </si>
  <si>
    <t>O canvas está legível na versão exportada, sem cortes, sobreposições ou texto ilegível?</t>
  </si>
  <si>
    <t>O artefato está livre de erros de ortografia e digitação?</t>
  </si>
  <si>
    <t>BES – Especificação do Projeto – JoinUp, seção Artefato 5, v1.0</t>
  </si>
  <si>
    <t>Toda user story possui identificador único e não repetido?</t>
  </si>
  <si>
    <t>Toda user story possui título objetivo que resume a funcionalidade?</t>
  </si>
  <si>
    <t>Toda user story segue o formato COMO / POSSO / PARA previsto na diretriz?</t>
  </si>
  <si>
    <t>O campo "COMO" identifica um ator ou persona existente no Canvas PBB?</t>
  </si>
  <si>
    <t>O campo "POSSO" descreve uma ação executável pelo usuário no sistema?</t>
  </si>
  <si>
    <t>O campo "PARA" expressa um benefício ou valor de negócio, e não uma repetição da ação?</t>
  </si>
  <si>
    <t>As user stories descrevem necessidades do usuário, e não soluções técnicas de implementação?</t>
  </si>
  <si>
    <t>Toda user story possui ao menos um critério de aceite associado?</t>
  </si>
  <si>
    <t>Todos os critérios de aceite seguem o formato DADO QUE / QUANDO / ENTÃO?</t>
  </si>
  <si>
    <t>Os critérios de aceite são verificáveis objetivamente, permitindo decisão binária de atendimento?</t>
  </si>
  <si>
    <t>Os critérios de aceite cobrem, além do fluxo principal, ao menos um cenário alternativo ou de exceção quando aplicável?</t>
  </si>
  <si>
    <t>Os critérios de aceite estão livres de ambiguidade e de termos vagos sem definição?</t>
  </si>
  <si>
    <t>As user stories são independentes entre si ou têm dependências explicitamente declaradas?</t>
  </si>
  <si>
    <t>As user stories apresentam granularidade adequada, sem itens que configurem épicos não decompostos?</t>
  </si>
  <si>
    <t>Não existem user stories duplicadas ou com sobreposição de escopo?</t>
  </si>
  <si>
    <t>Há indicação de prioridade, estimativa ou classificação de MVP para cada user story?</t>
  </si>
  <si>
    <t>Toda user story é rastreável a um PBI do Canvas PBB (Artefato 4)?</t>
  </si>
  <si>
    <t>As entidades e os dados citados nas user stories têm correspondência no Modelo Relacional (Artefato 6)?</t>
  </si>
  <si>
    <t>O artefato está livre de erros de ortografia, digitação e concordância, e registra autoria, versão e data?</t>
  </si>
  <si>
    <t>Repositório /docs/modelagem/ e link externo indicado no documento, v1.0</t>
  </si>
  <si>
    <t>O modelo identifica o nome do projeto, a versão e a data de elaboração?</t>
  </si>
  <si>
    <t>Toda entidade possui nome único, no padrão de nomenclatura adotado pela equipe?</t>
  </si>
  <si>
    <t>A nomenclatura de tabelas e de colunas é uniforme em todo o modelo (idioma, singular/plural e uso de separadores)?</t>
  </si>
  <si>
    <t>Toda entidade possui chave primária definida?</t>
  </si>
  <si>
    <t>Todos os atributos possuem tipo de dado especificado e adequado ao conteúdo que armazenam?</t>
  </si>
  <si>
    <t>Os atributos obrigatórios estão identificados quanto à obrigatoriedade (NOT NULL) ou opcionalidade?</t>
  </si>
  <si>
    <t>Os tamanhos e as precisões dos campos estão definidos quando o tipo de dado exige?</t>
  </si>
  <si>
    <t>Todos os relacionamentos entre entidades estão representados com chave estrangeira?</t>
  </si>
  <si>
    <t>A cardinalidade de cada relacionamento está indicada?</t>
  </si>
  <si>
    <t>Os relacionamentos muitos-para-muitos foram resolvidos por meio de tabela associativa?</t>
  </si>
  <si>
    <t>O modelo está na Primeira Forma Normal (ausência de atributos multivalorados ou compostos)?</t>
  </si>
  <si>
    <t>O modelo está na Segunda Forma Normal (ausência de dependência parcial da chave primária)?</t>
  </si>
  <si>
    <t>O modelo está na Terceira Forma Normal (ausência de dependência transitiva entre atributos não chave)?</t>
  </si>
  <si>
    <t>Não há entidades, atributos ou relacionamentos redundantes ou não utilizados?</t>
  </si>
  <si>
    <t>Não existem entidades órfãs, sem qualquer relacionamento, salvo justificativa registrada?</t>
  </si>
  <si>
    <t>As restrições de integridade e as regras de negócio pertinentes estão representadas ou documentadas?</t>
  </si>
  <si>
    <t>Todas as entidades necessárias para atender às user stories do Artefato 5 estão contempladas no modelo?</t>
  </si>
  <si>
    <t>O modelo é coerente com o Diagrama de Classes (Artefato 7) quanto a entidades, atributos e relacionamentos?</t>
  </si>
  <si>
    <t>O diagrama está legível na versão exportada, com legenda e notação uniforme, e livre de erros de ortografia?</t>
  </si>
  <si>
    <t>André</t>
  </si>
  <si>
    <t>Eduardo</t>
  </si>
  <si>
    <t>Arthur</t>
  </si>
  <si>
    <t>Avaliação de Processo e Produto - Artefato 1 – Quadro "3 Objetivos"</t>
  </si>
  <si>
    <t>Projeto avaliado</t>
  </si>
  <si>
    <t>JoinUp</t>
  </si>
  <si>
    <t>Descrição da Avaliação</t>
  </si>
  <si>
    <t>Auditor de QA</t>
  </si>
  <si>
    <t>Data da auditoria</t>
  </si>
  <si>
    <t>Descrição</t>
  </si>
  <si>
    <t>Responsável</t>
  </si>
  <si>
    <t>Observações</t>
  </si>
  <si>
    <t>Classificação da NCF</t>
  </si>
  <si>
    <t>Ação corretiva indicada</t>
  </si>
  <si>
    <t>Situação da NC</t>
  </si>
  <si>
    <t>Avaliação de Processo e Produto - Artefato 3 – Quadro "Visão de Produto"</t>
  </si>
  <si>
    <t>Avaliação de Processo e Produto - Artefato 4 – Canvas PBB (Product Backlog Building)</t>
  </si>
  <si>
    <t>Avaliação de Processo e Produto - Artefato 5 – Relação de User Stories e Critérios de Aceite</t>
  </si>
  <si>
    <t>Avaliação de Processo e Produto - Artefato 6 – Modelo Relacional</t>
  </si>
  <si>
    <t>Apuração da Avaliação</t>
  </si>
  <si>
    <t>Nº de pontos de avaliação</t>
  </si>
  <si>
    <t>NCF Não aplicáveis nesta avaliação</t>
  </si>
  <si>
    <t>Pontos aplicáveis</t>
  </si>
  <si>
    <t>Nº de pontos conformes (C)</t>
  </si>
  <si>
    <t>Nº de pontos não conformes (NC)</t>
  </si>
  <si>
    <t>Aderência</t>
  </si>
  <si>
    <t>Faixas de Aderência</t>
  </si>
  <si>
    <t>0-60%</t>
  </si>
  <si>
    <t>Não aderente</t>
  </si>
  <si>
    <t>61-90%</t>
  </si>
  <si>
    <t>Parcialmente aderente</t>
  </si>
  <si>
    <t>91-100%</t>
  </si>
  <si>
    <t>Aderente</t>
  </si>
  <si>
    <t>Auditor de QA:</t>
  </si>
  <si>
    <t>Data:</t>
  </si>
  <si>
    <t>Tempo total:</t>
  </si>
  <si>
    <t>C</t>
  </si>
  <si>
    <t>;</t>
  </si>
  <si>
    <t>Artefato entregue no documento "BES – Especificação do Projeto – JoinUp", seção Artefato 1, acessível à equipe auditora.</t>
  </si>
  <si>
    <t>N/A</t>
  </si>
  <si>
    <t>NC</t>
  </si>
  <si>
    <t>O quadro informa "NOME DO PRODUTO: JoinUp", mas não há registro de versão do documento no artefato.</t>
  </si>
  <si>
    <t>Baixo</t>
  </si>
  <si>
    <t>Inserir campo de versão (ex.: v1.0) no cabeçalho do Artefato 1.</t>
  </si>
  <si>
    <t>Em andamento</t>
  </si>
  <si>
    <t>O quadro apresenta exatamente três objetivos numerados (1, 2 e 3).</t>
  </si>
  <si>
    <t>Cada objetivo está redigido em sentença única e compreensível.</t>
  </si>
  <si>
    <t>O objetivo 3 ("Gerenciamento de eventos com CRUD") utiliza termo técnico (CRUD), não compreensível por stakeholders não técnicos.</t>
  </si>
  <si>
    <t>Médio</t>
  </si>
  <si>
    <t>Reescrever o objetivo 3 em linguagem de negócio, ex.: "Permitir que organizadores criem e mantenham seus eventos na plataforma".</t>
  </si>
  <si>
    <t>Os objetivos 2 e 3 descrevem solução/funcionalidade ("plataforma de compra e venda", "gerenciamento com CRUD") em vez de resultado esperado do produto.</t>
  </si>
  <si>
    <t>Reformular os objetivos em termos de resultado para o usuário e para o negócio, deixando as funcionalidades para o Canvas PBB.</t>
  </si>
  <si>
    <t>Os três objetivos tratam de temas distintos: comunidade/rede social, venda de ingressos e gestão de eventos.</t>
  </si>
  <si>
    <t>Nenhum objetivo possui indicador, meta ou critério de verificação associado, nem mesmo qualitativo.</t>
  </si>
  <si>
    <t>Alto</t>
  </si>
  <si>
    <t>Associar a cada objetivo ao menos um indicador verificável (ex.: número de comunidades criadas, ingressos transacionados, eventos publicados).</t>
  </si>
  <si>
    <t>Os objetivos são compatíveis com o escopo de rede social para shows e venda de ingressos descrito no documento.</t>
  </si>
  <si>
    <t>Coerentes com o Artefato 2: "é rede social voltada para shows" e "plataforma de compra e venda de ingressos".</t>
  </si>
  <si>
    <t>Coerentes com o Artefato 3 (categoria-segmento e meta-valor: promover shows e criar conexões entre pessoas).</t>
  </si>
  <si>
    <t>O Canvas PBB (Artefato 4) não foi entregue no documento — há apenas a legenda da Figura 4 e a nota "Sprint 1 em verde e Sprint 2 em azul". Sem o canvas, não há rastreabilidade objetivo→PBI.</t>
  </si>
  <si>
    <t>Inserir o Canvas PBB no documento (imagem legível ou link do Miro) e mapear cada objetivo aos PBIs correspondentes.</t>
  </si>
  <si>
    <t>Não foram identificados termos vagos do tipo "melhor", "rápido" ou "moderno" nos três objetivos.</t>
  </si>
  <si>
    <t>O Artefato 1 não identifica público-alvo nem beneficiário; o cliente-alvo aparece somente no Artefato 3 (jovens de 18 a 25 anos).</t>
  </si>
  <si>
    <t>Indicar no quadro o beneficiário de cada objetivo (participante, organizador, suporte), alinhado ao cliente-alvo do Artefato 3.</t>
  </si>
  <si>
    <t>Não há indicação de prioridade ou relevância relativa; a numeração 1-3 é apenas sequencial e não está declarada como ordem de prioridade.</t>
  </si>
  <si>
    <t>Declarar explicitamente a ordem de prioridade dos objetivos ou incluir coluna de prioridade no quadro.</t>
  </si>
  <si>
    <t>Não há objetivos conflitantes ou mutuamente excludentes.</t>
  </si>
  <si>
    <t>O quadro segue a estrutura do template (título do artefato, nome do produto, colunas OBJETIVOS e DESCRIÇÃO) e possui legenda da Figura 1.</t>
  </si>
  <si>
    <t>Não foram identificados erros de ortografia ou concordância no texto dos três objetivos.</t>
  </si>
  <si>
    <t>O artefato não registra autoria nem data de elaboração/atualização; a autoria consta apenas na capa do documento (equipe).</t>
  </si>
  <si>
    <t>Incluir autoria e data de última atualização no próprio quadro ou em cabeçalho de controle de versões.</t>
  </si>
  <si>
    <t>Não há evidência de revisão ou aprovação formal pelo Responsável pelo Projeto antes da submissão (ausência de registro de revisão/aprovação).</t>
  </si>
  <si>
    <t>Registrar revisão e aprovação do artefato (nome do responsável e data) antes da entrega à auditoria.</t>
  </si>
  <si>
    <t>Artefato entregue na seção Artefato 3 do documento BES – Especificação do Projeto – JoinUp, acessível à equipe auditora.</t>
  </si>
  <si>
    <t>O quadro contém CLIENTE-ALVO, CATEGORIA-SEGMENTO, BENEFÍCIO-CHAVE, DIFERENCIADO-CHAVE e META-VALOR, mas não apresenta os campos de necessidade/problema, concorrentes e premissas/restrições previstos no template.</t>
  </si>
  <si>
    <t>Completar o quadro com todos os campos do template de Visão de Produto (necessidade, concorrência, premissas e restrições).</t>
  </si>
  <si>
    <t>O campo "NOME DO PRODUTO:" está vazio no Artefato 3, ao contrário dos Artefatos 1 e 2, onde consta "JoinUp".</t>
  </si>
  <si>
    <t>Preencher o campo NOME DO PRODUTO com "JoinUp".</t>
  </si>
  <si>
    <t>CLIENTE-ALVO caracterizado: jovens de 18 a 25 anos, majoritariamente solteiros, de regiões urbanas/metropolitanas.</t>
  </si>
  <si>
    <t>Não há campo específico descrevendo a necessidade/problema; a dor aparece apenas de forma indireta no DIFERENCIADO-CHAVE ("revenda de ingressos, dor recorrente do segmento").</t>
  </si>
  <si>
    <t>Incluir campo de necessidade/problema descrevendo objetivamente a dor do cliente-alvo que o JoinUp resolve.</t>
  </si>
  <si>
    <t>CATEGORIA-SEGMENTO informada: rede social para eventos e plataforma de compra de ingressos.</t>
  </si>
  <si>
    <t>BENEFÍCIO-CHAVE declarado: o "pós-venda" do show, unindo as pessoas em forma de comunidade.</t>
  </si>
  <si>
    <t>DIFERENCIADO-CHAVE descrito: rede social voltada a shows somada à revenda de ingressos.</t>
  </si>
  <si>
    <t>O quadro não identifica concorrentes ou soluções alternativas; o Artefato 2 apenas menciona que não haverá conexão com outras plataformas de ingressos.</t>
  </si>
  <si>
    <t>Listar os principais concorrentes/soluções alternativas e o posicionamento do JoinUp frente a eles.</t>
  </si>
  <si>
    <t>Não há registro de premissas e restrições no quadro.</t>
  </si>
  <si>
    <t>Registrar premissas e restrições do produto (ex.: escopo web, restrição a shows, prazo de duas sprints).</t>
  </si>
  <si>
    <t>Há lacuna no campo "NOME DO PRODUTO:", que permanece em branco no quadro.</t>
  </si>
  <si>
    <t>Preencher todos os campos do quadro e revisar o artefato para remover lacunas remanescentes do template.</t>
  </si>
  <si>
    <t>A visão é consistente com os três objetivos do Artefato 1 (comunidade de shows, venda de ingressos e eventos).</t>
  </si>
  <si>
    <t>Consistente com o Artefato 2: rede social voltada a shows, plataforma de ingressos, sem integração com streaming ou outras plataformas.</t>
  </si>
  <si>
    <t>O Canvas PBB (Artefato 4) não foi entregue no documento, o que impede a rastreabilidade entre a visão de produto e as funcionalidades.</t>
  </si>
  <si>
    <t>Inserir o Canvas PBB no documento e mapear os elementos da visão de produto aos PBIs registrados.</t>
  </si>
  <si>
    <t>Texto em linguagem clara, sem jargão técnico não explicado.</t>
  </si>
  <si>
    <t>Há expressões vagas sem definição, como "pós-venda de show" e "forma de comunidade", além do rótulo "DIFERENCIADO-CHAVE" (o termo correto do template é "DIFERENCIAL-CHAVE").</t>
  </si>
  <si>
    <t>Definir os termos utilizados no quadro e corrigir o rótulo do campo para "DIFERENCIAL-CHAVE".</t>
  </si>
  <si>
    <t>Não há no artefato registro de prazo ou de recursos que permita avaliar a compatibilidade do escopo declarado; o documento apenas menciona Sprint 1 e Sprint 2.</t>
  </si>
  <si>
    <t>Registrar prazo e recursos previstos e confrontá-los com o escopo (rede social + venda + revenda de ingressos + gestão de eventos).</t>
  </si>
  <si>
    <t>Estrutura do quadro segue o template de referência, com título do artefato e legenda da Figura 3.</t>
  </si>
  <si>
    <t>Foram identificados desvios de escrita: rótulo "DIFERENCIADO-CHAVE" e "META-VALOR." com ponto final indevido.</t>
  </si>
  <si>
    <t>Revisar ortografia e rótulos dos campos do quadro.</t>
  </si>
  <si>
    <t>O artefato não registra autoria, versão nem data de elaboração/atualização.</t>
  </si>
  <si>
    <t>Incluir autoria, versão e data de última atualização no artefato.</t>
  </si>
  <si>
    <t>O Canvas PBB não foi localizado: na seção Artefato 4 do documento constam apenas o título, a nota "Sprint 1 em verde e Sprint 2 em azul" e a legenda da Figura 4, sem imagem do canvas e sem link do Miro. Os links informados (Trello e GitHub) não apontam para o canvas.</t>
  </si>
  <si>
    <t>Disponibilizar o Canvas PBB no local indicado na seção 3 do plano (imagem no documento e/ou link do Miro com acesso à equipe auditora).</t>
  </si>
  <si>
    <t>Sem o canvas disponível, não é possível comprovar o uso do template oficial do PBB nem a presença das raias previstas.</t>
  </si>
  <si>
    <t>Entregar o canvas no template oficial do PBB, com todas as raias preenchidas.</t>
  </si>
  <si>
    <t>Raia de Produto não verificável: artefato ausente.</t>
  </si>
  <si>
    <t>Preencher a raia de Produto com nome (JoinUp) e propósito do produto e reapresentar o artefato.</t>
  </si>
  <si>
    <t>Personas não identificadas no canvas (ausente). O Artefato 5 utiliza os atores Participante, Organizador e Suporte, sem caracterização de persona.</t>
  </si>
  <si>
    <t>Registrar no canvas as personas (Participante, Organizador, Suporte) com nome e caracterização mínima.</t>
  </si>
  <si>
    <t>Não há necessidades ou expectativas associadas a personas, pois o canvas não foi entregue.</t>
  </si>
  <si>
    <t>Associar ao menos uma necessidade a cada persona na raia correspondente.</t>
  </si>
  <si>
    <t>Vínculo necessidade–persona não verificável: artefato ausente.</t>
  </si>
  <si>
    <t>Vincular explicitamente cada necessidade registrada à persona correspondente.</t>
  </si>
  <si>
    <t>Os PBIs aparecem apenas de forma indireta, nos títulos das 19 histórias do Artefato 5, e não em canvas próprio.</t>
  </si>
  <si>
    <t>Registrar os PBIs individualizados na raia de features do canvas.</t>
  </si>
  <si>
    <t>Associação PBI–necessidade/persona não verificável: canvas ausente.</t>
  </si>
  <si>
    <t>Associar cada PBI a pelo menos uma necessidade ou persona no canvas.</t>
  </si>
  <si>
    <t>Pelos títulos dos PBIs citados no Artefato 5 (ex.: "Realizar compra do ingresso do evento", "Definir programação do evento"), os itens descrevem funcionalidades e não tarefas técnicas.</t>
  </si>
  <si>
    <t>Granularidade heterogênea nos PBIs citados no Artefato 5: itens amplos como "Criar Evento" e "Realizar cadastro do Evento" convivem com itens pontuais como "Selecionar ticket do usuário".</t>
  </si>
  <si>
    <t>Revisar a granularidade dos PBIs, decompondo itens amplos e agrupando itens triviais.</t>
  </si>
  <si>
    <t>Há duplicidade: as histórias 7 e 8 possuem o mesmo PBI "Realizar cadastro do Suporte"; também há sobreposição entre "Realizar cadastro do Evento" (HU 6) e "Criar Evento" (HU 9).</t>
  </si>
  <si>
    <t>Eliminar o PBI duplicado de cadastro do suporte e consolidar os PBIs de cadastro/criação de evento em um único item.</t>
  </si>
  <si>
    <t>Raia de produtos/resultados esperados não verificável: canvas ausente.</t>
  </si>
  <si>
    <t>Preencher a raia de resultados esperados e demonstrar coerência com os três objetivos do Artefato 1.</t>
  </si>
  <si>
    <t>Regras de negócio não registradas em raia própria; aparecem apenas diluídas nos critérios de aceite do Artefato 5.</t>
  </si>
  <si>
    <t>Registrar as regras de negócio na raia correspondente do canvas.</t>
  </si>
  <si>
    <t>Há critérios de aceite associados aos PBIs — duas ocorrências por história no Artefato 5 —, ainda que registrados fora do canvas.</t>
  </si>
  <si>
    <t>A única indicação de priorização é a nota "Sprint 1 em verde e Sprint 2 em azul", cuja legenda por cor não pode ser conferida sem o canvas; não há MVP declarado.</t>
  </si>
  <si>
    <t>Explicitar a priorização dos PBIs em forma textual (ordem, sprint ou MVP), não apenas por cor.</t>
  </si>
  <si>
    <t>Rastreabilidade PBI→user story não verificável: canvas ausente.</t>
  </si>
  <si>
    <t>Após a entrega do canvas, elaborar matriz de rastreabilidade PBI × user story.</t>
  </si>
  <si>
    <t>Rastreabilidade bidirecional não verificável: as 19 histórias do Artefato 5 citam PBIs, mas não há canvas para confronto.</t>
  </si>
  <si>
    <t>Garantir correspondência biunívoca entre PBIs do canvas e user stories do Artefato 5.</t>
  </si>
  <si>
    <t>Não há versão exportada do canvas no documento; a Figura 4 possui legenda, mas nenhuma imagem correspondente.</t>
  </si>
  <si>
    <t>Exportar o canvas em resolução legível e inseri-lo no documento sob a Figura 4.</t>
  </si>
  <si>
    <t>Revisão ortográfica do canvas não verificável: artefato ausente.</t>
  </si>
  <si>
    <t>Revisar ortografia e digitação do canvas antes da reapresentação.</t>
  </si>
  <si>
    <t>Não há registro de autoria, versão ou data para o Artefato 4.</t>
  </si>
  <si>
    <t>Incluir autoria, versão e data de elaboração/atualização do canvas.</t>
  </si>
  <si>
    <t>Artefato entregue na seção Artefato 5 do documento BES – Especificação do Projeto – JoinUp, com 19 histórias de usuário acessíveis à equipe auditora.</t>
  </si>
  <si>
    <t>As histórias estão numeradas de 1 a 19, sem repetição de identificador.</t>
  </si>
  <si>
    <t>Cada história traz título objetivo no cabeçalho ("PBI: ..."), resumindo a funcionalidade.</t>
  </si>
  <si>
    <t>Todas as 19 histórias seguem o formato COMO / POSSO / PARA.</t>
  </si>
  <si>
    <t>Os atores utilizados (Participante, Organizador, Suporte) são consistentes entre si, mas não podem ser confrontados com personas do Canvas PBB, pois o Artefato 4 não foi entregue no documento.</t>
  </si>
  <si>
    <t>Entregar o Canvas PBB com as personas e confirmar a correspondência com os atores das user stories.</t>
  </si>
  <si>
    <t>O campo POSSO descreve ações executáveis pelo usuário (ex.: "Realizar a compra do ingresso do evento", "Definir a programação do evento").</t>
  </si>
  <si>
    <t>Em parte das histórias o campo PARA repete a ação em vez de expressar valor de negócio: HU 1 ("Fazer login e acessar plataforma"), HU 9 ("Criar e divulgar eventos dentro da plataforma") e HU 10 ("Ir ao evento").</t>
  </si>
  <si>
    <t>Reescrever o campo PARA das histórias 1, 9 e 10 explicitando o benefício ao usuário, sem repetir a ação.</t>
  </si>
  <si>
    <t>As histórias descrevem necessidades do usuário, sem detalhamento de solução técnica de implementação.</t>
  </si>
  <si>
    <t>Todas as 19 histórias possuem dois critérios de aceite associados.</t>
  </si>
  <si>
    <t>Os critérios de aceite seguem o formato DADO QUE / QUANDO / ENTÃO nas histórias verificadas.</t>
  </si>
  <si>
    <t>Os critérios são objetivamente verificáveis, com resultados esperados explícitos (mensagens e redirecionamentos definidos).</t>
  </si>
  <si>
    <t>Cada história apresenta o fluxo principal no critério 1 e um cenário de exceção no critério 2 (ex.: campos obrigatórios não preenchidos, ingresso esgotado, evento já encerrado).</t>
  </si>
  <si>
    <t>Há impreciões e ambiguidades: HU 10 usa "acesso a tela de detalhes" (erro de regência) e retorna erro "evento bloqueado" para evento passado; HU 12 tem critério 1 iniciando por "O participante está logado..." em história cujo ator é o Organizador.</t>
  </si>
  <si>
    <t>Há dependências implícitas não declaradas: as histórias de login (2 e 5) dependem das de cadastro (1 e 4) e as de compra e de programação dependem da criação do evento, sem qualquer registro de dependência.</t>
  </si>
  <si>
    <t>Declarar explicitamente as dependências entre as user stories ou torná-las independentes.</t>
  </si>
  <si>
    <t>As histórias têm granularidade adequada, cada uma representando uma funcionalidade implementável; não há épicos não decompostos.</t>
  </si>
  <si>
    <t>As histórias 7 e 8 são duplicadas (mesmo PBI "Realizar cadastro do Suporte", mesmo ator e critérios equivalentes) e há sobreposição entre a HU 6 ("Realizar cadastro do Evento") e a HU 9 ("Criar Evento").</t>
  </si>
  <si>
    <t>Excluir uma das histórias de cadastro do suporte e consolidar as histórias 6 e 9 em uma única, com escopo delimitado.</t>
  </si>
  <si>
    <t>Não há prioridade, estimativa ou classificação de MVP registrada por história; a única referência é a nota de cores de sprint na seção do Artefato 4.</t>
  </si>
  <si>
    <t>Incluir campo de prioridade/estimativa e indicação de MVP em cada user story.</t>
  </si>
  <si>
    <t>Cada história cita um PBI no cabeçalho, mas a rastreabilidade não pode ser comprovada porque o Canvas PBB (Artefato 4) não foi entregue.</t>
  </si>
  <si>
    <t>Entregar o Canvas PBB e elaborar matriz de rastreabilidade user story × PBI.</t>
  </si>
  <si>
    <t>Não foi possível confirmar a correspondência integral com o Artefato 6: entidades citadas nas histórias, como ticket de suporte, convite a artistas, lote de ingressos e programação do evento, não estão rastreadas de forma documentada ao modelo relacional.</t>
  </si>
  <si>
    <t>Elaborar mapeamento entre as entidades citadas nas user stories e as tabelas do modelo relacional, ajustando o modelo onde houver lacuna.</t>
  </si>
  <si>
    <t>Há erros de digitação nas histórias (ex.: "PARA: Acessa a plataforma" na HU 2, "formuário" grafado "formuário/formuario" na HU 6, ausência de espaço em "DADO QUE:O suporte" na HU 18) e o artefato não registra autoria, versão nem data.</t>
  </si>
  <si>
    <t>Revisar ortografia e digitação das histórias e incluir autoria, versão e data no artefato.</t>
  </si>
  <si>
    <t>Revisar os critérios das histórias 10 e 12, padronizando o ator e substituindo termos imprecisos por descrições objetivas.</t>
  </si>
  <si>
    <t>O modelo está na seção Artefato 6 do documento (Figura 6) e há referência ao script "construir_banco_joinup_ajustado.sql", além dos links de Trello e GitHub do projeto.</t>
  </si>
  <si>
    <t>O artefato não identifica nome do projeto, versão nem data de elaboração; consta apenas o título da seção e a legenda da Figura 6.</t>
  </si>
  <si>
    <t>Incluir no diagrama (ou em cabeçalho próprio) o nome do projeto JoinUp, a versão e a data de elaboração.</t>
  </si>
  <si>
    <t>Não há padrão de nomenclatura declarado pela equipe no documento, o que impede verificar a conformidade dos nomes das entidades.</t>
  </si>
  <si>
    <t>Documentar o padrão de nomenclatura adotado e conferir todas as entidades contra esse padrão.</t>
  </si>
  <si>
    <t>Uniformidade de nomenclatura não comprovada: o diagrama entregue como imagem não permite conferência textual de tabelas e colunas, e o script SQL citado não foi anexado ao documento.</t>
  </si>
  <si>
    <t>Anexar o script SQL ao pacote de entrega e padronizar idioma, singular/plural e separadores em tabelas e colunas.</t>
  </si>
  <si>
    <t>Presença de chave primária em todas as entidades não verificável: o script de criação do banco não foi disponibilizado junto ao documento.</t>
  </si>
  <si>
    <t>Disponibilizar o script do banco e evidenciar a chave primária de cada entidade.</t>
  </si>
  <si>
    <t>Tipos de dados dos atributos não verificáveis a partir do artefato entregue.</t>
  </si>
  <si>
    <t>Apresentar o modelo com tipos de dados de todos os atributos ou anexar o script SQL correspondente.</t>
  </si>
  <si>
    <t>Obrigatoriedade/opcionalidade dos atributos (NOT NULL) não identificada no artefato entregue.</t>
  </si>
  <si>
    <t>Indicar no modelo a obrigatoriedade de cada atributo.</t>
  </si>
  <si>
    <t>Tamanhos e precisões de campos não registrados no artefato entregue.</t>
  </si>
  <si>
    <t>Definir tamanho e precisão dos campos que exigem (varchar, decimal para valores de ingresso).</t>
  </si>
  <si>
    <t>Representação das chaves estrangeiras não verificável na versão entregue do diagrama.</t>
  </si>
  <si>
    <t>Reapresentar o modelo com as chaves estrangeiras explicitadas em todos os relacionamentos.</t>
  </si>
  <si>
    <t>Cardinalidade dos relacionamentos não identificável na versão entregue do diagrama, que não contém legenda de notação.</t>
  </si>
  <si>
    <t>Indicar a cardinalidade de cada relacionamento e incluir legenda da notação utilizada.</t>
  </si>
  <si>
    <t>Não é possível confirmar a resolução dos relacionamentos muitos-para-muitos por tabela associativa; o domínio exige ao menos as associações participante–evento e artista–evento (convites), citadas nas histórias 11 e 13.</t>
  </si>
  <si>
    <t>Evidenciar no modelo as tabelas associativas de participação em evento e de convite a artistas.</t>
  </si>
  <si>
    <t>Conformidade com a Primeira Forma Normal não verificável sem a lista textual de atributos.</t>
  </si>
  <si>
    <t>Disponibilizar o dicionário de dados/script e demonstrar ausência de atributos multivalorados ou compostos.</t>
  </si>
  <si>
    <t>Conformidade com a Segunda Forma Normal não verificável a partir do artefato entregue.</t>
  </si>
  <si>
    <t>Documentar a análise de normalização até a 2FN das entidades com chave composta.</t>
  </si>
  <si>
    <t>Conformidade com a Terceira Forma Normal não verificável a partir do artefato entregue.</t>
  </si>
  <si>
    <t>Documentar a análise de 3FN, evidenciando ausência de dependências transitivas.</t>
  </si>
  <si>
    <t>Ausência de redundâncias não comprovável; a duplicidade de PBIs de cadastro do suporte no Artefato 5 sugere risco de entidades ou atributos repetidos.</t>
  </si>
  <si>
    <t>Revisar o modelo em busca de entidades, atributos e relacionamentos não utilizados, após consolidar as user stories duplicadas.</t>
  </si>
  <si>
    <t>Não é possível afirmar a inexistência de entidades órfãs a partir da versão entregue do diagrama, e não há justificativa registrada.</t>
  </si>
  <si>
    <t>Verificar e declarar no artefato que todas as entidades possuem relacionamento, justificando eventuais exceções.</t>
  </si>
  <si>
    <t>As restrições de integridade e regras de negócio (ex.: ingresso esgotado, lote com valor e quantidade, ticket de suporte com status) não estão documentadas no artefato.</t>
  </si>
  <si>
    <t>Documentar as restrições de integridade e as regras de negócio associadas ao modelo.</t>
  </si>
  <si>
    <t>Não há evidência de cobertura completa das user stories: entidades exigidas pelo Artefato 5, como ticket de suporte, convite a artista, lote de ingressos e programação do evento, não estão identificadas de forma rastreável no modelo entregue.</t>
  </si>
  <si>
    <t>Elaborar matriz de cobertura user story × entidade e complementar o modelo com as entidades faltantes.</t>
  </si>
  <si>
    <t>Ponto não aplicável: o Artefato 7 (Diagrama de Classes) foi declarado como "NÃO UTILIZAMOS" no documento, não havendo diagrama para confronto.</t>
  </si>
  <si>
    <t>O diagrama exportado não está legível na versão entregue e não possui legenda da notação adotada, impedindo a conferência de entidades, atributos e ortografia.</t>
  </si>
  <si>
    <t>Reexportar o diagrama em resolução legível, com legenda da notação, e revisar a ortografia dos rótulos.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</si>
</sst>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2" xfId="0" applyFont="1" applyBorder="1"/>
    <xf numFmtId="0" fontId="0" fillId="0" borderId="1" xfId="0" applyBorder="1"/>
    <xf numFmtId="10" fontId="0" fillId="0" borderId="0" xfId="0" applyNumberFormat="1"/>
    <xf numFmtId="10" fontId="0" fillId="0" borderId="2" xfId="0" applyNumberFormat="1" applyBorder="1"/>
    <xf numFmtId="0" fontId="1" fillId="2" borderId="4" xfId="0" applyFont="1" applyFill="1" applyBorder="1" applyAlignment="1">
      <alignment horizontal="center" vertical="center" wrapText="1"/>
    </xf>
    <xf numFmtId="0" fontId="0" fillId="2" borderId="0" xfId="0" applyFill="1"/>
    <xf numFmtId="0" fontId="1" fillId="3" borderId="0" xfId="0" applyFont="1" applyFill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Fill="1" applyBorder="1" applyAlignment="1">
      <alignment horizontal="center" vertical="top"/>
    </xf>
    <xf numFmtId="14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41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5D2E8E-A6A4-4C14-AB1F-17283D23378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ea8fa95-47e1-45d5-bb63-29d7f2f0728c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6547-D212-45C8-A0A0-14CB050D62AA}">
  <dimension ref="A1:H48"/>
  <sheetViews>
    <sheetView zoomScale="55" zoomScaleNormal="55" workbookViewId="0">
      <selection activeCell="C6" sqref="C6"/>
    </sheetView>
  </sheetViews>
  <sheetFormatPr defaultRowHeight="14.4" x14ac:dyDescent="0.3"/>
  <cols>
    <col min="1" max="1" width="6.33203125" customWidth="1"/>
    <col min="2" max="2" width="74.109375" customWidth="1"/>
    <col min="3" max="3" width="61.10937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16"/>
      <c r="B1" s="23" t="s">
        <v>104</v>
      </c>
      <c r="C1" s="23"/>
    </row>
    <row r="3" spans="1:8" x14ac:dyDescent="0.3">
      <c r="B3" s="10" t="s">
        <v>105</v>
      </c>
      <c r="C3" s="3" t="s">
        <v>106</v>
      </c>
    </row>
    <row r="4" spans="1:8" x14ac:dyDescent="0.3">
      <c r="B4" s="10" t="s">
        <v>107</v>
      </c>
      <c r="C4" s="3" t="s">
        <v>0</v>
      </c>
    </row>
    <row r="5" spans="1:8" x14ac:dyDescent="0.3">
      <c r="B5" s="10" t="s">
        <v>108</v>
      </c>
      <c r="C5" s="3" t="s">
        <v>101</v>
      </c>
    </row>
    <row r="6" spans="1:8" x14ac:dyDescent="0.3">
      <c r="B6" s="10" t="s">
        <v>109</v>
      </c>
      <c r="C6" s="27">
        <v>46270</v>
      </c>
    </row>
    <row r="8" spans="1:8" s="15" customFormat="1" x14ac:dyDescent="0.3">
      <c r="A8" s="14" t="s">
        <v>1</v>
      </c>
      <c r="B8" s="14" t="s">
        <v>110</v>
      </c>
      <c r="C8" s="14" t="s">
        <v>2</v>
      </c>
      <c r="D8" s="14" t="s">
        <v>111</v>
      </c>
      <c r="E8" s="14" t="s">
        <v>112</v>
      </c>
      <c r="F8" s="14" t="s">
        <v>113</v>
      </c>
      <c r="G8" s="14" t="s">
        <v>114</v>
      </c>
      <c r="H8" s="14" t="s">
        <v>115</v>
      </c>
    </row>
    <row r="9" spans="1:8" ht="43.2" x14ac:dyDescent="0.3">
      <c r="A9" s="7">
        <v>1</v>
      </c>
      <c r="B9" s="6" t="s">
        <v>3</v>
      </c>
      <c r="C9" s="7" t="s">
        <v>137</v>
      </c>
      <c r="D9" s="5" t="s">
        <v>101</v>
      </c>
      <c r="E9" s="6" t="s">
        <v>139</v>
      </c>
      <c r="F9" s="5" t="s">
        <v>140</v>
      </c>
      <c r="G9" s="6" t="s">
        <v>140</v>
      </c>
      <c r="H9" s="7" t="s">
        <v>140</v>
      </c>
    </row>
    <row r="10" spans="1:8" ht="43.2" x14ac:dyDescent="0.3">
      <c r="A10" s="7">
        <v>2</v>
      </c>
      <c r="B10" s="6" t="s">
        <v>4</v>
      </c>
      <c r="C10" s="7" t="s">
        <v>141</v>
      </c>
      <c r="D10" s="5" t="s">
        <v>101</v>
      </c>
      <c r="E10" s="6" t="s">
        <v>142</v>
      </c>
      <c r="F10" s="5" t="s">
        <v>143</v>
      </c>
      <c r="G10" s="6" t="s">
        <v>144</v>
      </c>
      <c r="H10" s="7" t="s">
        <v>145</v>
      </c>
    </row>
    <row r="11" spans="1:8" ht="28.8" x14ac:dyDescent="0.3">
      <c r="A11" s="7">
        <v>3</v>
      </c>
      <c r="B11" s="6" t="s">
        <v>5</v>
      </c>
      <c r="C11" s="7" t="s">
        <v>137</v>
      </c>
      <c r="D11" s="5" t="s">
        <v>101</v>
      </c>
      <c r="E11" s="6" t="s">
        <v>146</v>
      </c>
      <c r="F11" s="5" t="s">
        <v>140</v>
      </c>
      <c r="G11" s="6" t="s">
        <v>140</v>
      </c>
      <c r="H11" s="7" t="s">
        <v>140</v>
      </c>
    </row>
    <row r="12" spans="1:8" ht="28.8" x14ac:dyDescent="0.3">
      <c r="A12" s="7">
        <v>4</v>
      </c>
      <c r="B12" s="6" t="s">
        <v>6</v>
      </c>
      <c r="C12" s="7" t="s">
        <v>137</v>
      </c>
      <c r="D12" s="5" t="s">
        <v>101</v>
      </c>
      <c r="E12" s="6" t="s">
        <v>147</v>
      </c>
      <c r="F12" s="5" t="s">
        <v>140</v>
      </c>
      <c r="G12" s="6" t="s">
        <v>140</v>
      </c>
      <c r="H12" s="7" t="s">
        <v>140</v>
      </c>
    </row>
    <row r="13" spans="1:8" ht="57.6" x14ac:dyDescent="0.3">
      <c r="A13" s="7">
        <v>5</v>
      </c>
      <c r="B13" s="6" t="s">
        <v>7</v>
      </c>
      <c r="C13" s="7" t="s">
        <v>141</v>
      </c>
      <c r="D13" s="5" t="s">
        <v>101</v>
      </c>
      <c r="E13" s="6" t="s">
        <v>148</v>
      </c>
      <c r="F13" s="5" t="s">
        <v>149</v>
      </c>
      <c r="G13" s="6" t="s">
        <v>150</v>
      </c>
      <c r="H13" s="7" t="s">
        <v>145</v>
      </c>
    </row>
    <row r="14" spans="1:8" ht="57.6" x14ac:dyDescent="0.3">
      <c r="A14" s="7">
        <v>6</v>
      </c>
      <c r="B14" s="6" t="s">
        <v>8</v>
      </c>
      <c r="C14" s="7" t="s">
        <v>141</v>
      </c>
      <c r="D14" s="5" t="s">
        <v>101</v>
      </c>
      <c r="E14" s="6" t="s">
        <v>151</v>
      </c>
      <c r="F14" s="5" t="s">
        <v>149</v>
      </c>
      <c r="G14" s="6" t="s">
        <v>152</v>
      </c>
      <c r="H14" s="7" t="s">
        <v>145</v>
      </c>
    </row>
    <row r="15" spans="1:8" ht="43.2" x14ac:dyDescent="0.3">
      <c r="A15" s="7">
        <v>7</v>
      </c>
      <c r="B15" s="6" t="s">
        <v>9</v>
      </c>
      <c r="C15" s="7" t="s">
        <v>137</v>
      </c>
      <c r="D15" s="5" t="s">
        <v>101</v>
      </c>
      <c r="E15" s="6" t="s">
        <v>153</v>
      </c>
      <c r="F15" s="5" t="s">
        <v>140</v>
      </c>
      <c r="G15" s="6" t="s">
        <v>140</v>
      </c>
      <c r="H15" s="7" t="s">
        <v>140</v>
      </c>
    </row>
    <row r="16" spans="1:8" ht="57.6" x14ac:dyDescent="0.3">
      <c r="A16" s="7">
        <v>8</v>
      </c>
      <c r="B16" s="6" t="s">
        <v>10</v>
      </c>
      <c r="C16" s="7" t="s">
        <v>141</v>
      </c>
      <c r="D16" s="5" t="s">
        <v>101</v>
      </c>
      <c r="E16" s="6" t="s">
        <v>154</v>
      </c>
      <c r="F16" s="5" t="s">
        <v>155</v>
      </c>
      <c r="G16" s="6" t="s">
        <v>156</v>
      </c>
      <c r="H16" s="7" t="s">
        <v>145</v>
      </c>
    </row>
    <row r="17" spans="1:8" ht="43.2" x14ac:dyDescent="0.3">
      <c r="A17" s="7">
        <v>9</v>
      </c>
      <c r="B17" s="6" t="s">
        <v>11</v>
      </c>
      <c r="C17" s="7" t="s">
        <v>137</v>
      </c>
      <c r="D17" s="5" t="s">
        <v>101</v>
      </c>
      <c r="E17" s="6" t="s">
        <v>157</v>
      </c>
      <c r="F17" s="5" t="s">
        <v>140</v>
      </c>
      <c r="G17" s="6" t="s">
        <v>140</v>
      </c>
      <c r="H17" s="7" t="s">
        <v>140</v>
      </c>
    </row>
    <row r="18" spans="1:8" ht="43.2" x14ac:dyDescent="0.3">
      <c r="A18" s="7">
        <v>10</v>
      </c>
      <c r="B18" s="6" t="s">
        <v>12</v>
      </c>
      <c r="C18" s="7" t="s">
        <v>137</v>
      </c>
      <c r="D18" s="5" t="s">
        <v>101</v>
      </c>
      <c r="E18" s="6" t="s">
        <v>158</v>
      </c>
      <c r="F18" s="5" t="s">
        <v>140</v>
      </c>
      <c r="G18" s="6" t="s">
        <v>140</v>
      </c>
      <c r="H18" s="7" t="s">
        <v>140</v>
      </c>
    </row>
    <row r="19" spans="1:8" ht="43.2" x14ac:dyDescent="0.3">
      <c r="A19" s="7">
        <v>11</v>
      </c>
      <c r="B19" s="6" t="s">
        <v>13</v>
      </c>
      <c r="C19" s="7" t="s">
        <v>137</v>
      </c>
      <c r="D19" s="5" t="s">
        <v>101</v>
      </c>
      <c r="E19" s="6" t="s">
        <v>159</v>
      </c>
      <c r="F19" s="5" t="s">
        <v>140</v>
      </c>
      <c r="G19" s="6" t="s">
        <v>140</v>
      </c>
      <c r="H19" s="7" t="s">
        <v>140</v>
      </c>
    </row>
    <row r="20" spans="1:8" ht="57.6" x14ac:dyDescent="0.3">
      <c r="A20" s="7">
        <v>12</v>
      </c>
      <c r="B20" s="6" t="s">
        <v>14</v>
      </c>
      <c r="C20" s="7" t="s">
        <v>141</v>
      </c>
      <c r="D20" s="5" t="s">
        <v>101</v>
      </c>
      <c r="E20" s="6" t="s">
        <v>160</v>
      </c>
      <c r="F20" s="5" t="s">
        <v>155</v>
      </c>
      <c r="G20" s="6" t="s">
        <v>161</v>
      </c>
      <c r="H20" s="7" t="s">
        <v>145</v>
      </c>
    </row>
    <row r="21" spans="1:8" ht="43.2" x14ac:dyDescent="0.3">
      <c r="A21" s="7">
        <v>13</v>
      </c>
      <c r="B21" s="6" t="s">
        <v>15</v>
      </c>
      <c r="C21" s="7" t="s">
        <v>137</v>
      </c>
      <c r="D21" s="5" t="s">
        <v>101</v>
      </c>
      <c r="E21" s="6" t="s">
        <v>162</v>
      </c>
      <c r="F21" s="5" t="s">
        <v>140</v>
      </c>
      <c r="G21" s="6" t="s">
        <v>140</v>
      </c>
      <c r="H21" s="7" t="s">
        <v>140</v>
      </c>
    </row>
    <row r="22" spans="1:8" ht="57.6" x14ac:dyDescent="0.3">
      <c r="A22" s="7">
        <v>14</v>
      </c>
      <c r="B22" s="6" t="s">
        <v>16</v>
      </c>
      <c r="C22" s="7" t="s">
        <v>141</v>
      </c>
      <c r="D22" s="5" t="s">
        <v>101</v>
      </c>
      <c r="E22" s="6" t="s">
        <v>163</v>
      </c>
      <c r="F22" s="5" t="s">
        <v>143</v>
      </c>
      <c r="G22" s="6" t="s">
        <v>164</v>
      </c>
      <c r="H22" s="7" t="s">
        <v>145</v>
      </c>
    </row>
    <row r="23" spans="1:8" ht="43.2" x14ac:dyDescent="0.3">
      <c r="A23" s="7">
        <v>15</v>
      </c>
      <c r="B23" s="6" t="s">
        <v>17</v>
      </c>
      <c r="C23" s="7" t="s">
        <v>141</v>
      </c>
      <c r="D23" s="5" t="s">
        <v>101</v>
      </c>
      <c r="E23" s="6" t="s">
        <v>165</v>
      </c>
      <c r="F23" s="5" t="s">
        <v>143</v>
      </c>
      <c r="G23" s="6" t="s">
        <v>166</v>
      </c>
      <c r="H23" s="7" t="s">
        <v>145</v>
      </c>
    </row>
    <row r="24" spans="1:8" ht="28.8" x14ac:dyDescent="0.3">
      <c r="A24" s="7">
        <v>16</v>
      </c>
      <c r="B24" s="6" t="s">
        <v>18</v>
      </c>
      <c r="C24" s="7" t="s">
        <v>137</v>
      </c>
      <c r="D24" s="5" t="s">
        <v>101</v>
      </c>
      <c r="E24" s="6" t="s">
        <v>167</v>
      </c>
      <c r="F24" s="5" t="s">
        <v>140</v>
      </c>
      <c r="G24" s="6" t="s">
        <v>140</v>
      </c>
      <c r="H24" s="7" t="s">
        <v>140</v>
      </c>
    </row>
    <row r="25" spans="1:8" ht="43.2" x14ac:dyDescent="0.3">
      <c r="A25" s="7">
        <v>17</v>
      </c>
      <c r="B25" s="6" t="s">
        <v>19</v>
      </c>
      <c r="C25" s="7" t="s">
        <v>137</v>
      </c>
      <c r="D25" s="5" t="s">
        <v>101</v>
      </c>
      <c r="E25" s="6" t="s">
        <v>168</v>
      </c>
      <c r="F25" s="5" t="s">
        <v>140</v>
      </c>
      <c r="G25" s="6" t="s">
        <v>140</v>
      </c>
      <c r="H25" s="7" t="s">
        <v>140</v>
      </c>
    </row>
    <row r="26" spans="1:8" ht="28.8" x14ac:dyDescent="0.3">
      <c r="A26" s="7">
        <v>18</v>
      </c>
      <c r="B26" s="6" t="s">
        <v>20</v>
      </c>
      <c r="C26" s="7" t="s">
        <v>137</v>
      </c>
      <c r="D26" s="5" t="s">
        <v>101</v>
      </c>
      <c r="E26" s="6" t="s">
        <v>169</v>
      </c>
      <c r="F26" s="5" t="s">
        <v>140</v>
      </c>
      <c r="G26" s="6" t="s">
        <v>140</v>
      </c>
      <c r="H26" s="7" t="s">
        <v>140</v>
      </c>
    </row>
    <row r="27" spans="1:8" ht="43.2" x14ac:dyDescent="0.3">
      <c r="A27" s="7">
        <v>19</v>
      </c>
      <c r="B27" s="6" t="s">
        <v>21</v>
      </c>
      <c r="C27" s="7" t="s">
        <v>141</v>
      </c>
      <c r="D27" s="5" t="s">
        <v>101</v>
      </c>
      <c r="E27" s="6" t="s">
        <v>170</v>
      </c>
      <c r="F27" s="5" t="s">
        <v>149</v>
      </c>
      <c r="G27" s="6" t="s">
        <v>171</v>
      </c>
      <c r="H27" s="7" t="s">
        <v>145</v>
      </c>
    </row>
    <row r="28" spans="1:8" ht="57.6" x14ac:dyDescent="0.3">
      <c r="A28" s="7">
        <v>20</v>
      </c>
      <c r="B28" s="6" t="s">
        <v>22</v>
      </c>
      <c r="C28" s="7" t="s">
        <v>141</v>
      </c>
      <c r="D28" s="19" t="s">
        <v>101</v>
      </c>
      <c r="E28" s="20" t="s">
        <v>172</v>
      </c>
      <c r="F28" s="5" t="s">
        <v>149</v>
      </c>
      <c r="G28" s="6" t="s">
        <v>173</v>
      </c>
      <c r="H28" s="7" t="s">
        <v>145</v>
      </c>
    </row>
    <row r="29" spans="1:8" x14ac:dyDescent="0.3">
      <c r="B29" s="3"/>
      <c r="C29" s="11"/>
    </row>
    <row r="30" spans="1:8" x14ac:dyDescent="0.3">
      <c r="B30" s="17" t="s">
        <v>120</v>
      </c>
      <c r="C30" s="3"/>
    </row>
    <row r="31" spans="1:8" x14ac:dyDescent="0.3">
      <c r="B31" s="3" t="s">
        <v>121</v>
      </c>
      <c r="C31" s="3">
        <f>COUNTA($B$9:$B$28)</f>
        <v>20</v>
      </c>
    </row>
    <row r="32" spans="1:8" x14ac:dyDescent="0.3">
      <c r="B32" s="3" t="s">
        <v>122</v>
      </c>
      <c r="C32" s="3">
        <f>COUNTIF($C$9:$C$28,"N/A")</f>
        <v>0</v>
      </c>
    </row>
    <row r="33" spans="2:5" x14ac:dyDescent="0.3">
      <c r="B33" s="3" t="s">
        <v>123</v>
      </c>
      <c r="C33" s="3">
        <f>C31-C32</f>
        <v>20</v>
      </c>
    </row>
    <row r="34" spans="2:5" x14ac:dyDescent="0.3">
      <c r="B34" s="3" t="s">
        <v>124</v>
      </c>
      <c r="C34" s="3">
        <f>COUNTIF($C$9:$C$28,"C")</f>
        <v>11</v>
      </c>
    </row>
    <row r="35" spans="2:5" x14ac:dyDescent="0.3">
      <c r="B35" s="3" t="s">
        <v>125</v>
      </c>
      <c r="C35" s="3">
        <f>COUNTIF($C$9:$C$28,"NC")</f>
        <v>9</v>
      </c>
    </row>
    <row r="36" spans="2:5" x14ac:dyDescent="0.3">
      <c r="B36" s="3" t="s">
        <v>126</v>
      </c>
      <c r="C36" s="13">
        <f>IF(OR(C33=0,COUNTA($C$9:$C$28)=0),"",C34/C33)</f>
        <v>0.55000000000000004</v>
      </c>
      <c r="E36" s="12"/>
    </row>
    <row r="37" spans="2:5" x14ac:dyDescent="0.3">
      <c r="B37" s="3" t="s">
        <v>23</v>
      </c>
      <c r="C37" s="3" t="str">
        <f>IF(C36="","",IF(C36&gt;=0.91,"91-100%",IF(C36&gt;=0.61,"61-90%","0-60%")))</f>
        <v>0-60%</v>
      </c>
    </row>
    <row r="38" spans="2:5" x14ac:dyDescent="0.3">
      <c r="B38" s="3"/>
      <c r="C38" s="3"/>
    </row>
    <row r="39" spans="2:5" x14ac:dyDescent="0.3">
      <c r="B39" s="17" t="s">
        <v>127</v>
      </c>
      <c r="C39" s="3"/>
      <c r="D39" s="1"/>
    </row>
    <row r="40" spans="2:5" x14ac:dyDescent="0.3">
      <c r="B40" s="3" t="s">
        <v>128</v>
      </c>
      <c r="C40" s="3" t="s">
        <v>129</v>
      </c>
    </row>
    <row r="41" spans="2:5" x14ac:dyDescent="0.3">
      <c r="B41" s="3" t="s">
        <v>130</v>
      </c>
      <c r="C41" s="3" t="s">
        <v>131</v>
      </c>
    </row>
    <row r="42" spans="2:5" x14ac:dyDescent="0.3">
      <c r="B42" s="3" t="s">
        <v>132</v>
      </c>
      <c r="C42" s="3" t="s">
        <v>133</v>
      </c>
    </row>
    <row r="43" spans="2:5" x14ac:dyDescent="0.3">
      <c r="B43" s="3"/>
      <c r="C43" s="3" t="s">
        <v>138</v>
      </c>
    </row>
    <row r="44" spans="2:5" x14ac:dyDescent="0.3">
      <c r="B44" s="3" t="s">
        <v>134</v>
      </c>
      <c r="C44" s="3">
        <f>A5</f>
        <v>0</v>
      </c>
      <c r="E44" s="16"/>
    </row>
    <row r="45" spans="2:5" x14ac:dyDescent="0.3">
      <c r="B45" s="3" t="s">
        <v>135</v>
      </c>
      <c r="C45" s="4" t="str">
        <f>IF(A6="","",A6)</f>
        <v/>
      </c>
      <c r="E45" s="9"/>
    </row>
    <row r="46" spans="2:5" x14ac:dyDescent="0.3">
      <c r="B46" s="3" t="s">
        <v>136</v>
      </c>
      <c r="C46" s="3"/>
    </row>
    <row r="47" spans="2:5" x14ac:dyDescent="0.3">
      <c r="C47" s="8"/>
    </row>
    <row r="48" spans="2:5" x14ac:dyDescent="0.3">
      <c r="B48" s="1"/>
      <c r="C48" s="21"/>
    </row>
  </sheetData>
  <mergeCells count="1">
    <mergeCell ref="B1:C1"/>
  </mergeCells>
  <dataValidations disablePrompts="1" count="3">
    <dataValidation type="list" allowBlank="1" showInputMessage="1" showErrorMessage="1" sqref="C9:C28" xr:uid="{226E6EC5-FB8D-47A6-B9E8-B63517D54ED1}">
      <formula1>"C,NC,N/A"</formula1>
    </dataValidation>
    <dataValidation type="list" allowBlank="1" showInputMessage="1" showErrorMessage="1" sqref="H9:H28" xr:uid="{6EC1D86F-C6BB-457F-ACA2-7945E78CBAFB}">
      <formula1>"Aberta,Em resolução,Resolvida,Escalonada,Não se aplica"</formula1>
    </dataValidation>
    <dataValidation type="list" allowBlank="1" showInputMessage="1" showErrorMessage="1" sqref="F9:F28" xr:uid="{C537BA7B-E2C3-4DF4-BD34-CB9ED5139223}">
      <formula1>$B$31:$B$47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8415-FFB8-407B-921D-2B1984E80824}">
  <dimension ref="A1:H48"/>
  <sheetViews>
    <sheetView zoomScale="55" zoomScaleNormal="55" workbookViewId="0">
      <selection activeCell="C6" sqref="C6"/>
    </sheetView>
  </sheetViews>
  <sheetFormatPr defaultRowHeight="14.4" x14ac:dyDescent="0.3"/>
  <cols>
    <col min="1" max="1" width="6.33203125" customWidth="1"/>
    <col min="2" max="2" width="74.109375" customWidth="1"/>
    <col min="3" max="3" width="61.7773437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22"/>
      <c r="B1" s="24" t="s">
        <v>116</v>
      </c>
      <c r="C1" s="24"/>
    </row>
    <row r="3" spans="1:8" x14ac:dyDescent="0.3">
      <c r="B3" s="10" t="s">
        <v>105</v>
      </c>
      <c r="C3" s="3" t="s">
        <v>106</v>
      </c>
    </row>
    <row r="4" spans="1:8" x14ac:dyDescent="0.3">
      <c r="B4" s="10" t="s">
        <v>107</v>
      </c>
      <c r="C4" s="3" t="s">
        <v>24</v>
      </c>
    </row>
    <row r="5" spans="1:8" x14ac:dyDescent="0.3">
      <c r="B5" s="10" t="s">
        <v>108</v>
      </c>
      <c r="C5" s="3" t="s">
        <v>101</v>
      </c>
    </row>
    <row r="6" spans="1:8" x14ac:dyDescent="0.3">
      <c r="B6" s="10" t="s">
        <v>109</v>
      </c>
      <c r="C6" s="4">
        <v>46270</v>
      </c>
    </row>
    <row r="8" spans="1:8" x14ac:dyDescent="0.3">
      <c r="A8" s="14" t="s">
        <v>1</v>
      </c>
      <c r="B8" s="14" t="s">
        <v>110</v>
      </c>
      <c r="C8" s="14" t="s">
        <v>2</v>
      </c>
      <c r="D8" s="14" t="s">
        <v>111</v>
      </c>
      <c r="E8" s="14" t="s">
        <v>112</v>
      </c>
      <c r="F8" s="14" t="s">
        <v>113</v>
      </c>
      <c r="G8" s="14" t="s">
        <v>114</v>
      </c>
      <c r="H8" s="14" t="s">
        <v>115</v>
      </c>
    </row>
    <row r="9" spans="1:8" ht="43.2" x14ac:dyDescent="0.3">
      <c r="A9" s="7">
        <v>1</v>
      </c>
      <c r="B9" s="6" t="s">
        <v>3</v>
      </c>
      <c r="C9" s="7" t="s">
        <v>137</v>
      </c>
      <c r="D9" s="5" t="s">
        <v>101</v>
      </c>
      <c r="E9" s="6" t="s">
        <v>174</v>
      </c>
      <c r="F9" s="5" t="s">
        <v>140</v>
      </c>
      <c r="G9" s="6" t="s">
        <v>140</v>
      </c>
      <c r="H9" s="7" t="s">
        <v>140</v>
      </c>
    </row>
    <row r="10" spans="1:8" ht="86.4" x14ac:dyDescent="0.3">
      <c r="A10" s="7">
        <v>2</v>
      </c>
      <c r="B10" s="6" t="s">
        <v>25</v>
      </c>
      <c r="C10" s="7" t="s">
        <v>141</v>
      </c>
      <c r="D10" s="5" t="s">
        <v>101</v>
      </c>
      <c r="E10" s="6" t="s">
        <v>175</v>
      </c>
      <c r="F10" s="5" t="s">
        <v>155</v>
      </c>
      <c r="G10" s="6" t="s">
        <v>176</v>
      </c>
      <c r="H10" s="7" t="s">
        <v>145</v>
      </c>
    </row>
    <row r="11" spans="1:8" ht="43.2" x14ac:dyDescent="0.3">
      <c r="A11" s="7">
        <v>3</v>
      </c>
      <c r="B11" s="6" t="s">
        <v>26</v>
      </c>
      <c r="C11" s="7" t="s">
        <v>141</v>
      </c>
      <c r="D11" s="5" t="s">
        <v>101</v>
      </c>
      <c r="E11" s="6" t="s">
        <v>177</v>
      </c>
      <c r="F11" s="5" t="s">
        <v>149</v>
      </c>
      <c r="G11" s="6" t="s">
        <v>178</v>
      </c>
      <c r="H11" s="7" t="s">
        <v>145</v>
      </c>
    </row>
    <row r="12" spans="1:8" ht="43.2" x14ac:dyDescent="0.3">
      <c r="A12" s="7">
        <v>4</v>
      </c>
      <c r="B12" s="6" t="s">
        <v>27</v>
      </c>
      <c r="C12" s="7" t="s">
        <v>137</v>
      </c>
      <c r="D12" s="5" t="s">
        <v>101</v>
      </c>
      <c r="E12" s="6" t="s">
        <v>179</v>
      </c>
      <c r="F12" s="5" t="s">
        <v>140</v>
      </c>
      <c r="G12" s="6" t="s">
        <v>140</v>
      </c>
      <c r="H12" s="7" t="s">
        <v>140</v>
      </c>
    </row>
    <row r="13" spans="1:8" ht="72" x14ac:dyDescent="0.3">
      <c r="A13" s="7">
        <v>5</v>
      </c>
      <c r="B13" s="6" t="s">
        <v>28</v>
      </c>
      <c r="C13" s="26" t="s">
        <v>141</v>
      </c>
      <c r="D13" s="5" t="s">
        <v>101</v>
      </c>
      <c r="E13" s="6" t="s">
        <v>180</v>
      </c>
      <c r="F13" s="5" t="s">
        <v>149</v>
      </c>
      <c r="G13" s="6" t="s">
        <v>181</v>
      </c>
      <c r="H13" s="7" t="s">
        <v>145</v>
      </c>
    </row>
    <row r="14" spans="1:8" ht="43.2" x14ac:dyDescent="0.3">
      <c r="A14" s="7">
        <v>6</v>
      </c>
      <c r="B14" s="6" t="s">
        <v>29</v>
      </c>
      <c r="C14" s="7" t="s">
        <v>137</v>
      </c>
      <c r="D14" s="5" t="s">
        <v>101</v>
      </c>
      <c r="E14" s="6" t="s">
        <v>182</v>
      </c>
      <c r="F14" s="5" t="s">
        <v>140</v>
      </c>
      <c r="G14" s="6" t="s">
        <v>140</v>
      </c>
      <c r="H14" s="7" t="s">
        <v>140</v>
      </c>
    </row>
    <row r="15" spans="1:8" ht="43.2" x14ac:dyDescent="0.3">
      <c r="A15" s="7">
        <v>7</v>
      </c>
      <c r="B15" s="6" t="s">
        <v>30</v>
      </c>
      <c r="C15" s="7" t="s">
        <v>137</v>
      </c>
      <c r="D15" s="5" t="s">
        <v>101</v>
      </c>
      <c r="E15" s="6" t="s">
        <v>183</v>
      </c>
      <c r="F15" s="5" t="s">
        <v>140</v>
      </c>
      <c r="G15" s="6" t="s">
        <v>140</v>
      </c>
      <c r="H15" s="7" t="s">
        <v>140</v>
      </c>
    </row>
    <row r="16" spans="1:8" ht="28.8" x14ac:dyDescent="0.3">
      <c r="A16" s="7">
        <v>8</v>
      </c>
      <c r="B16" s="6" t="s">
        <v>31</v>
      </c>
      <c r="C16" s="7" t="s">
        <v>137</v>
      </c>
      <c r="D16" s="5" t="s">
        <v>101</v>
      </c>
      <c r="E16" s="6" t="s">
        <v>184</v>
      </c>
      <c r="F16" s="5" t="s">
        <v>140</v>
      </c>
      <c r="G16" s="6" t="s">
        <v>140</v>
      </c>
      <c r="H16" s="7" t="s">
        <v>140</v>
      </c>
    </row>
    <row r="17" spans="1:8" ht="57.6" x14ac:dyDescent="0.3">
      <c r="A17" s="7">
        <v>9</v>
      </c>
      <c r="B17" s="6" t="s">
        <v>32</v>
      </c>
      <c r="C17" s="7" t="s">
        <v>141</v>
      </c>
      <c r="D17" s="5" t="s">
        <v>101</v>
      </c>
      <c r="E17" s="6" t="s">
        <v>185</v>
      </c>
      <c r="F17" s="5" t="s">
        <v>149</v>
      </c>
      <c r="G17" s="6" t="s">
        <v>186</v>
      </c>
      <c r="H17" s="7" t="s">
        <v>145</v>
      </c>
    </row>
    <row r="18" spans="1:8" ht="43.2" x14ac:dyDescent="0.3">
      <c r="A18" s="7">
        <v>10</v>
      </c>
      <c r="B18" s="6" t="s">
        <v>33</v>
      </c>
      <c r="C18" s="7" t="s">
        <v>141</v>
      </c>
      <c r="D18" s="5" t="s">
        <v>101</v>
      </c>
      <c r="E18" s="6" t="s">
        <v>187</v>
      </c>
      <c r="F18" s="5" t="s">
        <v>149</v>
      </c>
      <c r="G18" s="6" t="s">
        <v>188</v>
      </c>
      <c r="H18" s="7" t="s">
        <v>145</v>
      </c>
    </row>
    <row r="19" spans="1:8" ht="43.2" x14ac:dyDescent="0.3">
      <c r="A19" s="7">
        <v>11</v>
      </c>
      <c r="B19" s="6" t="s">
        <v>34</v>
      </c>
      <c r="C19" s="7" t="s">
        <v>141</v>
      </c>
      <c r="D19" s="5" t="s">
        <v>101</v>
      </c>
      <c r="E19" s="6" t="s">
        <v>189</v>
      </c>
      <c r="F19" s="5" t="s">
        <v>149</v>
      </c>
      <c r="G19" s="6" t="s">
        <v>190</v>
      </c>
      <c r="H19" s="7" t="s">
        <v>145</v>
      </c>
    </row>
    <row r="20" spans="1:8" ht="43.2" x14ac:dyDescent="0.3">
      <c r="A20" s="7">
        <v>12</v>
      </c>
      <c r="B20" s="6" t="s">
        <v>35</v>
      </c>
      <c r="C20" s="7" t="s">
        <v>137</v>
      </c>
      <c r="D20" s="5" t="s">
        <v>101</v>
      </c>
      <c r="E20" s="6" t="s">
        <v>191</v>
      </c>
      <c r="F20" s="5" t="s">
        <v>140</v>
      </c>
      <c r="G20" s="6" t="s">
        <v>140</v>
      </c>
      <c r="H20" s="7" t="s">
        <v>140</v>
      </c>
    </row>
    <row r="21" spans="1:8" ht="57.6" x14ac:dyDescent="0.3">
      <c r="A21" s="7">
        <v>13</v>
      </c>
      <c r="B21" s="6" t="s">
        <v>36</v>
      </c>
      <c r="C21" s="7" t="s">
        <v>137</v>
      </c>
      <c r="D21" s="5" t="s">
        <v>101</v>
      </c>
      <c r="E21" s="6" t="s">
        <v>192</v>
      </c>
      <c r="F21" s="5" t="s">
        <v>140</v>
      </c>
      <c r="G21" s="6" t="s">
        <v>140</v>
      </c>
      <c r="H21" s="7" t="s">
        <v>140</v>
      </c>
    </row>
    <row r="22" spans="1:8" ht="43.2" x14ac:dyDescent="0.3">
      <c r="A22" s="7">
        <v>14</v>
      </c>
      <c r="B22" s="6" t="s">
        <v>37</v>
      </c>
      <c r="C22" s="7" t="s">
        <v>141</v>
      </c>
      <c r="D22" s="5" t="s">
        <v>101</v>
      </c>
      <c r="E22" s="6" t="s">
        <v>193</v>
      </c>
      <c r="F22" s="5" t="s">
        <v>155</v>
      </c>
      <c r="G22" s="6" t="s">
        <v>194</v>
      </c>
      <c r="H22" s="7" t="s">
        <v>145</v>
      </c>
    </row>
    <row r="23" spans="1:8" ht="28.8" x14ac:dyDescent="0.3">
      <c r="A23" s="7">
        <v>15</v>
      </c>
      <c r="B23" s="6" t="s">
        <v>38</v>
      </c>
      <c r="C23" s="7" t="s">
        <v>137</v>
      </c>
      <c r="D23" s="5" t="s">
        <v>101</v>
      </c>
      <c r="E23" s="6" t="s">
        <v>195</v>
      </c>
      <c r="F23" s="5" t="s">
        <v>140</v>
      </c>
      <c r="G23" s="6" t="s">
        <v>140</v>
      </c>
      <c r="H23" s="7" t="s">
        <v>140</v>
      </c>
    </row>
    <row r="24" spans="1:8" ht="57.6" x14ac:dyDescent="0.3">
      <c r="A24" s="7">
        <v>16</v>
      </c>
      <c r="B24" s="6" t="s">
        <v>39</v>
      </c>
      <c r="C24" s="7" t="s">
        <v>141</v>
      </c>
      <c r="D24" s="5" t="s">
        <v>101</v>
      </c>
      <c r="E24" s="6" t="s">
        <v>196</v>
      </c>
      <c r="F24" s="5" t="s">
        <v>143</v>
      </c>
      <c r="G24" s="6" t="s">
        <v>197</v>
      </c>
      <c r="H24" s="7" t="s">
        <v>145</v>
      </c>
    </row>
    <row r="25" spans="1:8" ht="57.6" x14ac:dyDescent="0.3">
      <c r="A25" s="7">
        <v>17</v>
      </c>
      <c r="B25" s="6" t="s">
        <v>40</v>
      </c>
      <c r="C25" s="7" t="s">
        <v>141</v>
      </c>
      <c r="D25" s="5" t="s">
        <v>101</v>
      </c>
      <c r="E25" s="6" t="s">
        <v>198</v>
      </c>
      <c r="F25" s="5" t="s">
        <v>149</v>
      </c>
      <c r="G25" s="6" t="s">
        <v>199</v>
      </c>
      <c r="H25" s="7" t="s">
        <v>145</v>
      </c>
    </row>
    <row r="26" spans="1:8" ht="43.2" x14ac:dyDescent="0.3">
      <c r="A26" s="7">
        <v>18</v>
      </c>
      <c r="B26" s="6" t="s">
        <v>19</v>
      </c>
      <c r="C26" s="7" t="s">
        <v>137</v>
      </c>
      <c r="D26" s="5" t="s">
        <v>101</v>
      </c>
      <c r="E26" s="6" t="s">
        <v>200</v>
      </c>
      <c r="F26" s="5" t="s">
        <v>140</v>
      </c>
      <c r="G26" s="6" t="s">
        <v>140</v>
      </c>
      <c r="H26" s="7" t="s">
        <v>140</v>
      </c>
    </row>
    <row r="27" spans="1:8" ht="43.2" x14ac:dyDescent="0.3">
      <c r="A27" s="7">
        <v>19</v>
      </c>
      <c r="B27" s="6" t="s">
        <v>20</v>
      </c>
      <c r="C27" s="7" t="s">
        <v>141</v>
      </c>
      <c r="D27" s="5" t="s">
        <v>101</v>
      </c>
      <c r="E27" s="6" t="s">
        <v>201</v>
      </c>
      <c r="F27" s="5" t="s">
        <v>143</v>
      </c>
      <c r="G27" s="6" t="s">
        <v>202</v>
      </c>
      <c r="H27" s="7" t="s">
        <v>145</v>
      </c>
    </row>
    <row r="28" spans="1:8" ht="28.8" x14ac:dyDescent="0.3">
      <c r="A28" s="7">
        <v>20</v>
      </c>
      <c r="B28" s="6" t="s">
        <v>41</v>
      </c>
      <c r="C28" s="7" t="s">
        <v>141</v>
      </c>
      <c r="D28" s="5" t="s">
        <v>101</v>
      </c>
      <c r="E28" s="6" t="s">
        <v>203</v>
      </c>
      <c r="F28" s="5" t="s">
        <v>149</v>
      </c>
      <c r="G28" s="6" t="s">
        <v>204</v>
      </c>
      <c r="H28" s="7" t="s">
        <v>145</v>
      </c>
    </row>
    <row r="30" spans="1:8" x14ac:dyDescent="0.3">
      <c r="B30" s="1"/>
      <c r="C30" s="1"/>
    </row>
    <row r="31" spans="1:8" x14ac:dyDescent="0.3">
      <c r="B31" s="17" t="s">
        <v>120</v>
      </c>
      <c r="C31" s="3"/>
    </row>
    <row r="32" spans="1:8" x14ac:dyDescent="0.3">
      <c r="B32" s="3" t="s">
        <v>121</v>
      </c>
      <c r="C32" s="3">
        <f>COUNTA($B$9:$B$28)</f>
        <v>20</v>
      </c>
    </row>
    <row r="33" spans="2:3" x14ac:dyDescent="0.3">
      <c r="B33" s="3" t="s">
        <v>122</v>
      </c>
      <c r="C33" s="3">
        <f>COUNTIF($C$9:$C$28,"N/A")</f>
        <v>0</v>
      </c>
    </row>
    <row r="34" spans="2:3" x14ac:dyDescent="0.3">
      <c r="B34" s="3" t="s">
        <v>123</v>
      </c>
      <c r="C34" s="3">
        <f>C32-C33</f>
        <v>20</v>
      </c>
    </row>
    <row r="35" spans="2:3" x14ac:dyDescent="0.3">
      <c r="B35" s="3" t="s">
        <v>124</v>
      </c>
      <c r="C35" s="3">
        <f>COUNTIF($C$9:$C$28,"C")</f>
        <v>9</v>
      </c>
    </row>
    <row r="36" spans="2:3" x14ac:dyDescent="0.3">
      <c r="B36" s="3" t="s">
        <v>125</v>
      </c>
      <c r="C36" s="3">
        <f>COUNTIF($C$9:$C$28,"NC")</f>
        <v>11</v>
      </c>
    </row>
    <row r="37" spans="2:3" x14ac:dyDescent="0.3">
      <c r="B37" s="3" t="s">
        <v>126</v>
      </c>
      <c r="C37" s="13">
        <f>IF(OR(C34=0,COUNTA($C$9:$C$28)=0),"",C35/C34)</f>
        <v>0.45</v>
      </c>
    </row>
    <row r="38" spans="2:3" x14ac:dyDescent="0.3">
      <c r="B38" s="3" t="s">
        <v>23</v>
      </c>
      <c r="C38" s="3" t="str">
        <f>IF(C37="","",IF(C37&gt;=0.91,"91-100%",IF(C37&gt;=0.61,"61-90%","0-60%")))</f>
        <v>0-60%</v>
      </c>
    </row>
    <row r="39" spans="2:3" x14ac:dyDescent="0.3">
      <c r="B39" s="3"/>
      <c r="C39" s="3"/>
    </row>
    <row r="40" spans="2:3" x14ac:dyDescent="0.3">
      <c r="B40" s="17" t="s">
        <v>127</v>
      </c>
      <c r="C40" s="3"/>
    </row>
    <row r="41" spans="2:3" x14ac:dyDescent="0.3">
      <c r="B41" s="3" t="s">
        <v>128</v>
      </c>
      <c r="C41" s="3" t="s">
        <v>129</v>
      </c>
    </row>
    <row r="42" spans="2:3" x14ac:dyDescent="0.3">
      <c r="B42" s="3" t="s">
        <v>130</v>
      </c>
      <c r="C42" s="3" t="s">
        <v>131</v>
      </c>
    </row>
    <row r="43" spans="2:3" x14ac:dyDescent="0.3">
      <c r="B43" s="3" t="s">
        <v>132</v>
      </c>
      <c r="C43" s="3" t="s">
        <v>133</v>
      </c>
    </row>
    <row r="44" spans="2:3" x14ac:dyDescent="0.3">
      <c r="B44" s="3"/>
      <c r="C44" s="3"/>
    </row>
    <row r="45" spans="2:3" x14ac:dyDescent="0.3">
      <c r="B45" s="3" t="s">
        <v>134</v>
      </c>
      <c r="C45" s="3"/>
    </row>
    <row r="46" spans="2:3" x14ac:dyDescent="0.3">
      <c r="B46" s="3" t="s">
        <v>135</v>
      </c>
      <c r="C46" s="4">
        <f>IF(C6="","",C6)</f>
        <v>46270</v>
      </c>
    </row>
    <row r="47" spans="2:3" x14ac:dyDescent="0.3">
      <c r="B47" s="3" t="s">
        <v>136</v>
      </c>
      <c r="C47" s="3"/>
    </row>
    <row r="48" spans="2:3" x14ac:dyDescent="0.3">
      <c r="B48" s="1"/>
      <c r="C48" s="21"/>
    </row>
  </sheetData>
  <mergeCells count="1">
    <mergeCell ref="B1:C1"/>
  </mergeCells>
  <dataValidations count="3">
    <dataValidation type="list" allowBlank="1" showInputMessage="1" showErrorMessage="1" sqref="H9:H28" xr:uid="{E1C3F3B0-557F-4D21-835D-5145268FF79F}">
      <formula1>"Aberta,Em resolução,Resolvida,Escalonada,Não se aplica"</formula1>
    </dataValidation>
    <dataValidation type="list" allowBlank="1" showInputMessage="1" showErrorMessage="1" sqref="F9:F28" xr:uid="{D2058048-C791-4307-A35E-E65F744F065F}">
      <formula1>#REF!</formula1>
    </dataValidation>
    <dataValidation type="list" allowBlank="1" showInputMessage="1" showErrorMessage="1" sqref="C14:C28 C9:C12" xr:uid="{9CE3366C-0669-4D88-A214-55357929DA81}">
      <formula1>"C,NC,N/A"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7D64-696B-4F31-86B8-C797338AF623}">
  <dimension ref="A1:H48"/>
  <sheetViews>
    <sheetView tabSelected="1" topLeftCell="B33" zoomScale="70" zoomScaleNormal="70" workbookViewId="0">
      <selection activeCell="C6" sqref="C6"/>
    </sheetView>
  </sheetViews>
  <sheetFormatPr defaultRowHeight="14.4" x14ac:dyDescent="0.3"/>
  <cols>
    <col min="1" max="1" width="6.33203125" customWidth="1"/>
    <col min="2" max="2" width="74.109375" customWidth="1"/>
    <col min="3" max="3" width="47.7773437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1"/>
      <c r="B1" s="25" t="s">
        <v>117</v>
      </c>
      <c r="C1" s="25"/>
    </row>
    <row r="3" spans="1:8" x14ac:dyDescent="0.3">
      <c r="B3" s="10" t="s">
        <v>105</v>
      </c>
      <c r="C3" s="3" t="s">
        <v>106</v>
      </c>
    </row>
    <row r="4" spans="1:8" x14ac:dyDescent="0.3">
      <c r="B4" s="10" t="s">
        <v>107</v>
      </c>
      <c r="C4" s="3" t="s">
        <v>42</v>
      </c>
    </row>
    <row r="5" spans="1:8" x14ac:dyDescent="0.3">
      <c r="B5" s="10" t="s">
        <v>108</v>
      </c>
      <c r="C5" s="3" t="s">
        <v>101</v>
      </c>
    </row>
    <row r="6" spans="1:8" x14ac:dyDescent="0.3">
      <c r="B6" s="10" t="s">
        <v>109</v>
      </c>
      <c r="C6" s="4">
        <v>46270</v>
      </c>
    </row>
    <row r="8" spans="1:8" x14ac:dyDescent="0.3">
      <c r="A8" s="14" t="s">
        <v>1</v>
      </c>
      <c r="B8" s="14" t="s">
        <v>110</v>
      </c>
      <c r="C8" s="14" t="s">
        <v>2</v>
      </c>
      <c r="D8" s="14" t="s">
        <v>111</v>
      </c>
      <c r="E8" s="14" t="s">
        <v>112</v>
      </c>
      <c r="F8" s="14" t="s">
        <v>113</v>
      </c>
      <c r="G8" s="14" t="s">
        <v>114</v>
      </c>
      <c r="H8" s="14" t="s">
        <v>115</v>
      </c>
    </row>
    <row r="9" spans="1:8" ht="86.4" x14ac:dyDescent="0.3">
      <c r="A9" s="7">
        <v>1</v>
      </c>
      <c r="B9" s="6" t="s">
        <v>3</v>
      </c>
      <c r="C9" s="7" t="s">
        <v>141</v>
      </c>
      <c r="D9" s="5" t="s">
        <v>101</v>
      </c>
      <c r="E9" s="6" t="s">
        <v>205</v>
      </c>
      <c r="F9" s="5" t="s">
        <v>155</v>
      </c>
      <c r="G9" s="6" t="s">
        <v>206</v>
      </c>
      <c r="H9" s="7" t="s">
        <v>145</v>
      </c>
    </row>
    <row r="10" spans="1:8" ht="43.2" x14ac:dyDescent="0.3">
      <c r="A10" s="7">
        <v>2</v>
      </c>
      <c r="B10" s="6" t="s">
        <v>43</v>
      </c>
      <c r="C10" s="7" t="s">
        <v>141</v>
      </c>
      <c r="D10" s="5" t="s">
        <v>101</v>
      </c>
      <c r="E10" s="6" t="s">
        <v>207</v>
      </c>
      <c r="F10" s="5" t="s">
        <v>155</v>
      </c>
      <c r="G10" s="6" t="s">
        <v>208</v>
      </c>
      <c r="H10" s="7" t="s">
        <v>145</v>
      </c>
    </row>
    <row r="11" spans="1:8" ht="43.2" x14ac:dyDescent="0.3">
      <c r="A11" s="7">
        <v>3</v>
      </c>
      <c r="B11" s="6" t="s">
        <v>44</v>
      </c>
      <c r="C11" s="7" t="s">
        <v>141</v>
      </c>
      <c r="D11" s="5" t="s">
        <v>101</v>
      </c>
      <c r="E11" s="6" t="s">
        <v>209</v>
      </c>
      <c r="F11" s="5" t="s">
        <v>155</v>
      </c>
      <c r="G11" s="6" t="s">
        <v>210</v>
      </c>
      <c r="H11" s="7" t="s">
        <v>145</v>
      </c>
    </row>
    <row r="12" spans="1:8" ht="57.6" x14ac:dyDescent="0.3">
      <c r="A12" s="7">
        <v>4</v>
      </c>
      <c r="B12" s="6" t="s">
        <v>45</v>
      </c>
      <c r="C12" s="7" t="s">
        <v>141</v>
      </c>
      <c r="D12" s="5" t="s">
        <v>101</v>
      </c>
      <c r="E12" s="6" t="s">
        <v>211</v>
      </c>
      <c r="F12" s="5" t="s">
        <v>155</v>
      </c>
      <c r="G12" s="6" t="s">
        <v>212</v>
      </c>
      <c r="H12" s="7" t="s">
        <v>145</v>
      </c>
    </row>
    <row r="13" spans="1:8" ht="43.2" x14ac:dyDescent="0.3">
      <c r="A13" s="7">
        <v>5</v>
      </c>
      <c r="B13" s="6" t="s">
        <v>46</v>
      </c>
      <c r="C13" s="7" t="s">
        <v>141</v>
      </c>
      <c r="D13" s="5" t="s">
        <v>101</v>
      </c>
      <c r="E13" s="6" t="s">
        <v>213</v>
      </c>
      <c r="F13" s="5" t="s">
        <v>155</v>
      </c>
      <c r="G13" s="6" t="s">
        <v>214</v>
      </c>
      <c r="H13" s="7" t="s">
        <v>145</v>
      </c>
    </row>
    <row r="14" spans="1:8" ht="43.2" x14ac:dyDescent="0.3">
      <c r="A14" s="7">
        <v>6</v>
      </c>
      <c r="B14" s="6" t="s">
        <v>47</v>
      </c>
      <c r="C14" s="7" t="s">
        <v>141</v>
      </c>
      <c r="D14" s="5" t="s">
        <v>101</v>
      </c>
      <c r="E14" s="6" t="s">
        <v>215</v>
      </c>
      <c r="F14" s="5" t="s">
        <v>149</v>
      </c>
      <c r="G14" s="6" t="s">
        <v>216</v>
      </c>
      <c r="H14" s="7" t="s">
        <v>145</v>
      </c>
    </row>
    <row r="15" spans="1:8" ht="43.2" x14ac:dyDescent="0.3">
      <c r="A15" s="7">
        <v>7</v>
      </c>
      <c r="B15" s="6" t="s">
        <v>48</v>
      </c>
      <c r="C15" s="7" t="s">
        <v>141</v>
      </c>
      <c r="D15" s="5" t="s">
        <v>101</v>
      </c>
      <c r="E15" s="6" t="s">
        <v>217</v>
      </c>
      <c r="F15" s="5" t="s">
        <v>155</v>
      </c>
      <c r="G15" s="6" t="s">
        <v>218</v>
      </c>
      <c r="H15" s="7" t="s">
        <v>145</v>
      </c>
    </row>
    <row r="16" spans="1:8" ht="28.8" x14ac:dyDescent="0.3">
      <c r="A16" s="7">
        <v>8</v>
      </c>
      <c r="B16" s="6" t="s">
        <v>49</v>
      </c>
      <c r="C16" s="7" t="s">
        <v>141</v>
      </c>
      <c r="D16" s="5" t="s">
        <v>101</v>
      </c>
      <c r="E16" s="6" t="s">
        <v>219</v>
      </c>
      <c r="F16" s="5" t="s">
        <v>155</v>
      </c>
      <c r="G16" s="6" t="s">
        <v>220</v>
      </c>
      <c r="H16" s="7" t="s">
        <v>145</v>
      </c>
    </row>
    <row r="17" spans="1:8" ht="57.6" x14ac:dyDescent="0.3">
      <c r="A17" s="7">
        <v>9</v>
      </c>
      <c r="B17" s="6" t="s">
        <v>50</v>
      </c>
      <c r="C17" s="7" t="s">
        <v>137</v>
      </c>
      <c r="D17" s="5" t="s">
        <v>101</v>
      </c>
      <c r="E17" s="6" t="s">
        <v>221</v>
      </c>
      <c r="F17" s="5" t="s">
        <v>140</v>
      </c>
      <c r="G17" s="6" t="s">
        <v>140</v>
      </c>
      <c r="H17" s="7" t="s">
        <v>140</v>
      </c>
    </row>
    <row r="18" spans="1:8" ht="72" x14ac:dyDescent="0.3">
      <c r="A18" s="7">
        <v>10</v>
      </c>
      <c r="B18" s="6" t="s">
        <v>51</v>
      </c>
      <c r="C18" s="7" t="s">
        <v>141</v>
      </c>
      <c r="D18" s="5" t="s">
        <v>101</v>
      </c>
      <c r="E18" s="6" t="s">
        <v>222</v>
      </c>
      <c r="F18" s="5" t="s">
        <v>149</v>
      </c>
      <c r="G18" s="6" t="s">
        <v>223</v>
      </c>
      <c r="H18" s="7" t="s">
        <v>145</v>
      </c>
    </row>
    <row r="19" spans="1:8" ht="72" x14ac:dyDescent="0.3">
      <c r="A19" s="7">
        <v>11</v>
      </c>
      <c r="B19" s="6" t="s">
        <v>52</v>
      </c>
      <c r="C19" s="7" t="s">
        <v>141</v>
      </c>
      <c r="D19" s="5" t="s">
        <v>101</v>
      </c>
      <c r="E19" s="6" t="s">
        <v>224</v>
      </c>
      <c r="F19" s="5" t="s">
        <v>155</v>
      </c>
      <c r="G19" s="6" t="s">
        <v>225</v>
      </c>
      <c r="H19" s="7" t="s">
        <v>145</v>
      </c>
    </row>
    <row r="20" spans="1:8" ht="43.2" x14ac:dyDescent="0.3">
      <c r="A20" s="7">
        <v>12</v>
      </c>
      <c r="B20" s="6" t="s">
        <v>53</v>
      </c>
      <c r="C20" s="7" t="s">
        <v>141</v>
      </c>
      <c r="D20" s="5" t="s">
        <v>101</v>
      </c>
      <c r="E20" s="6" t="s">
        <v>226</v>
      </c>
      <c r="F20" s="5" t="s">
        <v>149</v>
      </c>
      <c r="G20" s="6" t="s">
        <v>227</v>
      </c>
      <c r="H20" s="7" t="s">
        <v>145</v>
      </c>
    </row>
    <row r="21" spans="1:8" ht="43.2" x14ac:dyDescent="0.3">
      <c r="A21" s="7">
        <v>13</v>
      </c>
      <c r="B21" s="6" t="s">
        <v>54</v>
      </c>
      <c r="C21" s="7" t="s">
        <v>141</v>
      </c>
      <c r="D21" s="5" t="s">
        <v>101</v>
      </c>
      <c r="E21" s="6" t="s">
        <v>228</v>
      </c>
      <c r="F21" s="5" t="s">
        <v>149</v>
      </c>
      <c r="G21" s="6" t="s">
        <v>229</v>
      </c>
      <c r="H21" s="7" t="s">
        <v>145</v>
      </c>
    </row>
    <row r="22" spans="1:8" ht="43.2" x14ac:dyDescent="0.3">
      <c r="A22" s="7">
        <v>14</v>
      </c>
      <c r="B22" s="6" t="s">
        <v>55</v>
      </c>
      <c r="C22" s="7" t="s">
        <v>137</v>
      </c>
      <c r="D22" s="5" t="s">
        <v>101</v>
      </c>
      <c r="E22" s="6" t="s">
        <v>230</v>
      </c>
      <c r="F22" s="5" t="s">
        <v>140</v>
      </c>
      <c r="G22" s="6" t="s">
        <v>140</v>
      </c>
      <c r="H22" s="7" t="s">
        <v>140</v>
      </c>
    </row>
    <row r="23" spans="1:8" ht="57.6" x14ac:dyDescent="0.3">
      <c r="A23" s="7">
        <v>15</v>
      </c>
      <c r="B23" s="6" t="s">
        <v>56</v>
      </c>
      <c r="C23" s="7" t="s">
        <v>141</v>
      </c>
      <c r="D23" s="5" t="s">
        <v>101</v>
      </c>
      <c r="E23" s="6" t="s">
        <v>231</v>
      </c>
      <c r="F23" s="5" t="s">
        <v>149</v>
      </c>
      <c r="G23" s="6" t="s">
        <v>232</v>
      </c>
      <c r="H23" s="7" t="s">
        <v>145</v>
      </c>
    </row>
    <row r="24" spans="1:8" ht="43.2" x14ac:dyDescent="0.3">
      <c r="A24" s="7">
        <v>16</v>
      </c>
      <c r="B24" s="6" t="s">
        <v>57</v>
      </c>
      <c r="C24" s="7" t="s">
        <v>141</v>
      </c>
      <c r="D24" s="5" t="s">
        <v>101</v>
      </c>
      <c r="E24" s="6" t="s">
        <v>233</v>
      </c>
      <c r="F24" s="5" t="s">
        <v>155</v>
      </c>
      <c r="G24" s="6" t="s">
        <v>234</v>
      </c>
      <c r="H24" s="7" t="s">
        <v>145</v>
      </c>
    </row>
    <row r="25" spans="1:8" ht="43.2" x14ac:dyDescent="0.3">
      <c r="A25" s="7">
        <v>17</v>
      </c>
      <c r="B25" s="6" t="s">
        <v>58</v>
      </c>
      <c r="C25" s="7" t="s">
        <v>141</v>
      </c>
      <c r="D25" s="5" t="s">
        <v>101</v>
      </c>
      <c r="E25" s="6" t="s">
        <v>235</v>
      </c>
      <c r="F25" s="5" t="s">
        <v>155</v>
      </c>
      <c r="G25" s="6" t="s">
        <v>236</v>
      </c>
      <c r="H25" s="7" t="s">
        <v>145</v>
      </c>
    </row>
    <row r="26" spans="1:8" ht="43.2" x14ac:dyDescent="0.3">
      <c r="A26" s="7">
        <v>18</v>
      </c>
      <c r="B26" s="6" t="s">
        <v>59</v>
      </c>
      <c r="C26" s="7" t="s">
        <v>141</v>
      </c>
      <c r="D26" s="5" t="s">
        <v>101</v>
      </c>
      <c r="E26" s="6" t="s">
        <v>237</v>
      </c>
      <c r="F26" s="5" t="s">
        <v>155</v>
      </c>
      <c r="G26" s="6" t="s">
        <v>238</v>
      </c>
      <c r="H26" s="7" t="s">
        <v>145</v>
      </c>
    </row>
    <row r="27" spans="1:8" ht="28.8" x14ac:dyDescent="0.3">
      <c r="A27" s="7">
        <v>19</v>
      </c>
      <c r="B27" s="6" t="s">
        <v>60</v>
      </c>
      <c r="C27" s="7" t="s">
        <v>141</v>
      </c>
      <c r="D27" s="5" t="s">
        <v>101</v>
      </c>
      <c r="E27" s="6" t="s">
        <v>239</v>
      </c>
      <c r="F27" s="5" t="s">
        <v>143</v>
      </c>
      <c r="G27" s="6" t="s">
        <v>240</v>
      </c>
      <c r="H27" s="7" t="s">
        <v>145</v>
      </c>
    </row>
    <row r="28" spans="1:8" ht="28.8" x14ac:dyDescent="0.3">
      <c r="A28" s="7">
        <v>20</v>
      </c>
      <c r="B28" s="6" t="s">
        <v>41</v>
      </c>
      <c r="C28" s="7" t="s">
        <v>141</v>
      </c>
      <c r="D28" s="5" t="s">
        <v>101</v>
      </c>
      <c r="E28" s="6" t="s">
        <v>241</v>
      </c>
      <c r="F28" s="5" t="s">
        <v>149</v>
      </c>
      <c r="G28" s="6" t="s">
        <v>242</v>
      </c>
      <c r="H28" s="7" t="s">
        <v>145</v>
      </c>
    </row>
    <row r="30" spans="1:8" x14ac:dyDescent="0.3">
      <c r="B30" s="17" t="s">
        <v>120</v>
      </c>
      <c r="C30" s="3"/>
    </row>
    <row r="31" spans="1:8" x14ac:dyDescent="0.3">
      <c r="B31" s="3" t="s">
        <v>121</v>
      </c>
      <c r="C31" s="3">
        <f>COUNTA($B$9:$B$28)</f>
        <v>20</v>
      </c>
    </row>
    <row r="32" spans="1:8" x14ac:dyDescent="0.3">
      <c r="B32" s="3" t="s">
        <v>122</v>
      </c>
      <c r="C32" s="3">
        <f>COUNTIF($C$9:$C$28,"N/A")</f>
        <v>0</v>
      </c>
    </row>
    <row r="33" spans="2:3" x14ac:dyDescent="0.3">
      <c r="B33" s="3" t="s">
        <v>123</v>
      </c>
      <c r="C33" s="3">
        <f>C31-C32</f>
        <v>20</v>
      </c>
    </row>
    <row r="34" spans="2:3" x14ac:dyDescent="0.3">
      <c r="B34" s="3" t="s">
        <v>124</v>
      </c>
      <c r="C34" s="3">
        <f>COUNTIF($C$9:$C$28,"C")</f>
        <v>2</v>
      </c>
    </row>
    <row r="35" spans="2:3" x14ac:dyDescent="0.3">
      <c r="B35" s="3" t="s">
        <v>125</v>
      </c>
      <c r="C35" s="3">
        <f>COUNTIF($C$9:$C$28,"NC")</f>
        <v>18</v>
      </c>
    </row>
    <row r="36" spans="2:3" x14ac:dyDescent="0.3">
      <c r="B36" s="3" t="s">
        <v>126</v>
      </c>
      <c r="C36" s="13">
        <f>IF(OR(C33=0,COUNTA($C$9:$C$28)=0),"",C34/C33)</f>
        <v>0.1</v>
      </c>
    </row>
    <row r="37" spans="2:3" x14ac:dyDescent="0.3">
      <c r="B37" s="3" t="s">
        <v>23</v>
      </c>
      <c r="C37" s="3" t="str">
        <f>IF(C36="","",IF(C36&gt;=0.91,"91-100%",IF(C36&gt;=0.61,"61-90%","0-60%")))</f>
        <v>0-60%</v>
      </c>
    </row>
    <row r="38" spans="2:3" x14ac:dyDescent="0.3">
      <c r="B38" s="3"/>
      <c r="C38" s="3"/>
    </row>
    <row r="39" spans="2:3" x14ac:dyDescent="0.3">
      <c r="B39" s="17" t="s">
        <v>127</v>
      </c>
      <c r="C39" s="3"/>
    </row>
    <row r="40" spans="2:3" x14ac:dyDescent="0.3">
      <c r="B40" s="3" t="s">
        <v>128</v>
      </c>
      <c r="C40" s="3" t="s">
        <v>129</v>
      </c>
    </row>
    <row r="41" spans="2:3" x14ac:dyDescent="0.3">
      <c r="B41" s="3" t="s">
        <v>130</v>
      </c>
      <c r="C41" s="3" t="s">
        <v>131</v>
      </c>
    </row>
    <row r="42" spans="2:3" x14ac:dyDescent="0.3">
      <c r="B42" s="3" t="s">
        <v>132</v>
      </c>
      <c r="C42" s="3" t="s">
        <v>133</v>
      </c>
    </row>
    <row r="43" spans="2:3" x14ac:dyDescent="0.3">
      <c r="B43" s="3"/>
      <c r="C43" s="3"/>
    </row>
    <row r="44" spans="2:3" x14ac:dyDescent="0.3">
      <c r="B44" s="3" t="s">
        <v>134</v>
      </c>
      <c r="C44" s="3"/>
    </row>
    <row r="45" spans="2:3" x14ac:dyDescent="0.3">
      <c r="B45" s="3" t="s">
        <v>135</v>
      </c>
      <c r="C45" s="4">
        <f>IF(C6="","",C6)</f>
        <v>46270</v>
      </c>
    </row>
    <row r="46" spans="2:3" x14ac:dyDescent="0.3">
      <c r="B46" s="3" t="s">
        <v>136</v>
      </c>
      <c r="C46" s="3"/>
    </row>
    <row r="47" spans="2:3" x14ac:dyDescent="0.3">
      <c r="C47" s="8"/>
    </row>
    <row r="48" spans="2:3" x14ac:dyDescent="0.3">
      <c r="B48" s="1"/>
      <c r="C48" s="21"/>
    </row>
  </sheetData>
  <mergeCells count="1">
    <mergeCell ref="B1:C1"/>
  </mergeCells>
  <dataValidations count="3">
    <dataValidation type="list" allowBlank="1" showInputMessage="1" showErrorMessage="1" sqref="C9:C28" xr:uid="{EC12BBED-8617-4029-B81E-AC1F19E35A27}">
      <formula1>"C,NC,N/A"</formula1>
    </dataValidation>
    <dataValidation type="list" allowBlank="1" showInputMessage="1" showErrorMessage="1" sqref="H9:H28" xr:uid="{83AD3024-9E1F-41DD-ABF9-587CF6FE6286}">
      <formula1>"Aberta,Em resolução,Resolvida,Escalonada,Não se aplica"</formula1>
    </dataValidation>
    <dataValidation type="list" allowBlank="1" showInputMessage="1" showErrorMessage="1" sqref="F9:F28" xr:uid="{9E241BF0-8DA7-482A-8BCA-24C11689652C}">
      <formula1>$B$47:$B$47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8CB5-2F53-4383-98BF-DC0CE66B9C90}">
  <dimension ref="A1:H48"/>
  <sheetViews>
    <sheetView zoomScale="70" zoomScaleNormal="70" workbookViewId="0">
      <pane ySplit="8" topLeftCell="A9" activePane="bottomLeft" state="frozen"/>
      <selection pane="bottomLeft" activeCell="C6" sqref="C6"/>
    </sheetView>
  </sheetViews>
  <sheetFormatPr defaultRowHeight="14.4" x14ac:dyDescent="0.3"/>
  <cols>
    <col min="1" max="1" width="6.33203125" customWidth="1"/>
    <col min="2" max="2" width="74.109375" customWidth="1"/>
    <col min="3" max="3" width="60.4414062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1"/>
      <c r="B1" s="25" t="s">
        <v>118</v>
      </c>
      <c r="C1" s="25"/>
    </row>
    <row r="3" spans="1:8" x14ac:dyDescent="0.3">
      <c r="B3" s="10" t="s">
        <v>105</v>
      </c>
      <c r="C3" s="3" t="s">
        <v>106</v>
      </c>
    </row>
    <row r="4" spans="1:8" x14ac:dyDescent="0.3">
      <c r="B4" s="10" t="s">
        <v>107</v>
      </c>
      <c r="C4" s="3" t="s">
        <v>61</v>
      </c>
    </row>
    <row r="5" spans="1:8" x14ac:dyDescent="0.3">
      <c r="B5" s="10" t="s">
        <v>108</v>
      </c>
      <c r="C5" s="3" t="s">
        <v>102</v>
      </c>
    </row>
    <row r="6" spans="1:8" x14ac:dyDescent="0.3">
      <c r="B6" s="10" t="s">
        <v>109</v>
      </c>
      <c r="C6" s="4">
        <v>46270</v>
      </c>
    </row>
    <row r="8" spans="1:8" x14ac:dyDescent="0.3">
      <c r="A8" s="14" t="s">
        <v>1</v>
      </c>
      <c r="B8" s="14" t="s">
        <v>110</v>
      </c>
      <c r="C8" s="14" t="s">
        <v>2</v>
      </c>
      <c r="D8" s="14" t="s">
        <v>111</v>
      </c>
      <c r="E8" s="14" t="s">
        <v>112</v>
      </c>
      <c r="F8" s="14" t="s">
        <v>113</v>
      </c>
      <c r="G8" s="14" t="s">
        <v>114</v>
      </c>
      <c r="H8" s="14" t="s">
        <v>115</v>
      </c>
    </row>
    <row r="9" spans="1:8" ht="57.6" x14ac:dyDescent="0.3">
      <c r="A9" s="7">
        <v>1</v>
      </c>
      <c r="B9" s="6" t="s">
        <v>3</v>
      </c>
      <c r="C9" s="7" t="s">
        <v>137</v>
      </c>
      <c r="D9" s="5" t="s">
        <v>102</v>
      </c>
      <c r="E9" s="6" t="s">
        <v>243</v>
      </c>
      <c r="F9" s="5" t="s">
        <v>140</v>
      </c>
      <c r="G9" s="6" t="s">
        <v>140</v>
      </c>
      <c r="H9" s="7" t="s">
        <v>140</v>
      </c>
    </row>
    <row r="10" spans="1:8" ht="28.8" x14ac:dyDescent="0.3">
      <c r="A10" s="7">
        <v>2</v>
      </c>
      <c r="B10" s="6" t="s">
        <v>62</v>
      </c>
      <c r="C10" s="7" t="s">
        <v>137</v>
      </c>
      <c r="D10" s="5" t="s">
        <v>102</v>
      </c>
      <c r="E10" s="6" t="s">
        <v>244</v>
      </c>
      <c r="F10" s="5" t="s">
        <v>140</v>
      </c>
      <c r="G10" s="6" t="s">
        <v>140</v>
      </c>
      <c r="H10" s="7" t="s">
        <v>140</v>
      </c>
    </row>
    <row r="11" spans="1:8" ht="28.8" x14ac:dyDescent="0.3">
      <c r="A11" s="7">
        <v>3</v>
      </c>
      <c r="B11" s="6" t="s">
        <v>63</v>
      </c>
      <c r="C11" s="7" t="s">
        <v>137</v>
      </c>
      <c r="D11" s="5" t="s">
        <v>102</v>
      </c>
      <c r="E11" s="6" t="s">
        <v>245</v>
      </c>
      <c r="F11" s="5" t="s">
        <v>140</v>
      </c>
      <c r="G11" s="6" t="s">
        <v>140</v>
      </c>
      <c r="H11" s="7" t="s">
        <v>140</v>
      </c>
    </row>
    <row r="12" spans="1:8" ht="28.8" x14ac:dyDescent="0.3">
      <c r="A12" s="7">
        <v>4</v>
      </c>
      <c r="B12" s="6" t="s">
        <v>64</v>
      </c>
      <c r="C12" s="7" t="s">
        <v>137</v>
      </c>
      <c r="D12" s="5" t="s">
        <v>102</v>
      </c>
      <c r="E12" s="6" t="s">
        <v>246</v>
      </c>
      <c r="F12" s="5" t="s">
        <v>140</v>
      </c>
      <c r="G12" s="6" t="s">
        <v>140</v>
      </c>
      <c r="H12" s="7" t="s">
        <v>140</v>
      </c>
    </row>
    <row r="13" spans="1:8" ht="72" x14ac:dyDescent="0.3">
      <c r="A13" s="7">
        <v>5</v>
      </c>
      <c r="B13" s="6" t="s">
        <v>65</v>
      </c>
      <c r="C13" s="7" t="s">
        <v>141</v>
      </c>
      <c r="D13" s="5" t="s">
        <v>102</v>
      </c>
      <c r="E13" s="6" t="s">
        <v>247</v>
      </c>
      <c r="F13" s="5" t="s">
        <v>155</v>
      </c>
      <c r="G13" s="6" t="s">
        <v>248</v>
      </c>
      <c r="H13" s="7" t="s">
        <v>145</v>
      </c>
    </row>
    <row r="14" spans="1:8" ht="43.2" x14ac:dyDescent="0.3">
      <c r="A14" s="7">
        <v>6</v>
      </c>
      <c r="B14" s="6" t="s">
        <v>66</v>
      </c>
      <c r="C14" s="7" t="s">
        <v>137</v>
      </c>
      <c r="D14" s="5" t="s">
        <v>102</v>
      </c>
      <c r="E14" s="6" t="s">
        <v>249</v>
      </c>
      <c r="F14" s="5" t="s">
        <v>140</v>
      </c>
      <c r="G14" s="6" t="s">
        <v>140</v>
      </c>
      <c r="H14" s="7" t="s">
        <v>140</v>
      </c>
    </row>
    <row r="15" spans="1:8" ht="72" x14ac:dyDescent="0.3">
      <c r="A15" s="7">
        <v>7</v>
      </c>
      <c r="B15" s="6" t="s">
        <v>67</v>
      </c>
      <c r="C15" s="7" t="s">
        <v>141</v>
      </c>
      <c r="D15" s="5" t="s">
        <v>102</v>
      </c>
      <c r="E15" s="6" t="s">
        <v>250</v>
      </c>
      <c r="F15" s="5" t="s">
        <v>149</v>
      </c>
      <c r="G15" s="6" t="s">
        <v>251</v>
      </c>
      <c r="H15" s="7" t="s">
        <v>145</v>
      </c>
    </row>
    <row r="16" spans="1:8" ht="43.2" x14ac:dyDescent="0.3">
      <c r="A16" s="7">
        <v>8</v>
      </c>
      <c r="B16" s="6" t="s">
        <v>68</v>
      </c>
      <c r="C16" s="7" t="s">
        <v>137</v>
      </c>
      <c r="D16" s="5" t="s">
        <v>102</v>
      </c>
      <c r="E16" s="6" t="s">
        <v>252</v>
      </c>
      <c r="F16" s="5" t="s">
        <v>140</v>
      </c>
      <c r="G16" s="6" t="s">
        <v>140</v>
      </c>
      <c r="H16" s="7" t="s">
        <v>140</v>
      </c>
    </row>
    <row r="17" spans="1:8" ht="28.8" x14ac:dyDescent="0.3">
      <c r="A17" s="7">
        <v>9</v>
      </c>
      <c r="B17" s="6" t="s">
        <v>69</v>
      </c>
      <c r="C17" s="7" t="s">
        <v>137</v>
      </c>
      <c r="D17" s="5" t="s">
        <v>102</v>
      </c>
      <c r="E17" s="6" t="s">
        <v>253</v>
      </c>
      <c r="F17" s="5" t="s">
        <v>140</v>
      </c>
      <c r="G17" s="6" t="s">
        <v>140</v>
      </c>
      <c r="H17" s="7" t="s">
        <v>140</v>
      </c>
    </row>
    <row r="18" spans="1:8" ht="43.2" x14ac:dyDescent="0.3">
      <c r="A18" s="7">
        <v>10</v>
      </c>
      <c r="B18" s="6" t="s">
        <v>70</v>
      </c>
      <c r="C18" s="7" t="s">
        <v>137</v>
      </c>
      <c r="D18" s="5" t="s">
        <v>102</v>
      </c>
      <c r="E18" s="6" t="s">
        <v>254</v>
      </c>
      <c r="F18" s="5" t="s">
        <v>140</v>
      </c>
      <c r="G18" s="6" t="s">
        <v>140</v>
      </c>
      <c r="H18" s="7" t="s">
        <v>140</v>
      </c>
    </row>
    <row r="19" spans="1:8" ht="43.2" x14ac:dyDescent="0.3">
      <c r="A19" s="7">
        <v>11</v>
      </c>
      <c r="B19" s="6" t="s">
        <v>71</v>
      </c>
      <c r="C19" s="7" t="s">
        <v>137</v>
      </c>
      <c r="D19" s="5" t="s">
        <v>102</v>
      </c>
      <c r="E19" s="6" t="s">
        <v>255</v>
      </c>
      <c r="F19" s="5" t="s">
        <v>140</v>
      </c>
      <c r="G19" s="6" t="s">
        <v>140</v>
      </c>
      <c r="H19" s="7" t="s">
        <v>140</v>
      </c>
    </row>
    <row r="20" spans="1:8" ht="57.6" x14ac:dyDescent="0.3">
      <c r="A20" s="7">
        <v>12</v>
      </c>
      <c r="B20" s="6" t="s">
        <v>72</v>
      </c>
      <c r="C20" s="7" t="s">
        <v>137</v>
      </c>
      <c r="D20" s="5" t="s">
        <v>102</v>
      </c>
      <c r="E20" s="6" t="s">
        <v>256</v>
      </c>
      <c r="F20" s="5" t="s">
        <v>140</v>
      </c>
      <c r="G20" s="6" t="s">
        <v>140</v>
      </c>
      <c r="H20" s="7" t="s">
        <v>140</v>
      </c>
    </row>
    <row r="21" spans="1:8" ht="86.4" x14ac:dyDescent="0.3">
      <c r="A21" s="7">
        <v>13</v>
      </c>
      <c r="B21" s="6" t="s">
        <v>73</v>
      </c>
      <c r="C21" s="7" t="s">
        <v>141</v>
      </c>
      <c r="D21" s="5" t="s">
        <v>102</v>
      </c>
      <c r="E21" s="6" t="s">
        <v>257</v>
      </c>
      <c r="F21" s="5" t="s">
        <v>149</v>
      </c>
      <c r="G21" s="6" t="s">
        <v>271</v>
      </c>
      <c r="H21" s="7" t="s">
        <v>145</v>
      </c>
    </row>
    <row r="22" spans="1:8" ht="72" x14ac:dyDescent="0.3">
      <c r="A22" s="7">
        <v>14</v>
      </c>
      <c r="B22" s="6" t="s">
        <v>74</v>
      </c>
      <c r="C22" s="7" t="s">
        <v>141</v>
      </c>
      <c r="D22" s="5" t="s">
        <v>102</v>
      </c>
      <c r="E22" s="6" t="s">
        <v>258</v>
      </c>
      <c r="F22" s="5" t="s">
        <v>143</v>
      </c>
      <c r="G22" s="6" t="s">
        <v>259</v>
      </c>
      <c r="H22" s="7" t="s">
        <v>145</v>
      </c>
    </row>
    <row r="23" spans="1:8" ht="43.2" x14ac:dyDescent="0.3">
      <c r="A23" s="7">
        <v>15</v>
      </c>
      <c r="B23" s="6" t="s">
        <v>75</v>
      </c>
      <c r="C23" s="7" t="s">
        <v>137</v>
      </c>
      <c r="D23" s="5" t="s">
        <v>102</v>
      </c>
      <c r="E23" s="6" t="s">
        <v>260</v>
      </c>
      <c r="F23" s="5" t="s">
        <v>140</v>
      </c>
      <c r="G23" s="6" t="s">
        <v>140</v>
      </c>
      <c r="H23" s="7" t="s">
        <v>140</v>
      </c>
    </row>
    <row r="24" spans="1:8" ht="72" x14ac:dyDescent="0.3">
      <c r="A24" s="7">
        <v>16</v>
      </c>
      <c r="B24" s="6" t="s">
        <v>76</v>
      </c>
      <c r="C24" s="7" t="s">
        <v>141</v>
      </c>
      <c r="D24" s="5" t="s">
        <v>102</v>
      </c>
      <c r="E24" s="6" t="s">
        <v>261</v>
      </c>
      <c r="F24" s="5" t="s">
        <v>155</v>
      </c>
      <c r="G24" s="6" t="s">
        <v>262</v>
      </c>
      <c r="H24" s="7" t="s">
        <v>145</v>
      </c>
    </row>
    <row r="25" spans="1:8" ht="43.2" x14ac:dyDescent="0.3">
      <c r="A25" s="7">
        <v>17</v>
      </c>
      <c r="B25" s="6" t="s">
        <v>77</v>
      </c>
      <c r="C25" s="7" t="s">
        <v>141</v>
      </c>
      <c r="D25" s="5" t="s">
        <v>102</v>
      </c>
      <c r="E25" s="6" t="s">
        <v>263</v>
      </c>
      <c r="F25" s="5" t="s">
        <v>149</v>
      </c>
      <c r="G25" s="6" t="s">
        <v>264</v>
      </c>
      <c r="H25" s="7" t="s">
        <v>145</v>
      </c>
    </row>
    <row r="26" spans="1:8" ht="43.2" x14ac:dyDescent="0.3">
      <c r="A26" s="7">
        <v>18</v>
      </c>
      <c r="B26" s="6" t="s">
        <v>78</v>
      </c>
      <c r="C26" s="7" t="s">
        <v>141</v>
      </c>
      <c r="D26" s="5" t="s">
        <v>102</v>
      </c>
      <c r="E26" s="6" t="s">
        <v>265</v>
      </c>
      <c r="F26" s="5" t="s">
        <v>155</v>
      </c>
      <c r="G26" s="6" t="s">
        <v>266</v>
      </c>
      <c r="H26" s="7" t="s">
        <v>145</v>
      </c>
    </row>
    <row r="27" spans="1:8" ht="86.4" x14ac:dyDescent="0.3">
      <c r="A27" s="7">
        <v>19</v>
      </c>
      <c r="B27" s="6" t="s">
        <v>79</v>
      </c>
      <c r="C27" s="7" t="s">
        <v>141</v>
      </c>
      <c r="D27" s="5" t="s">
        <v>102</v>
      </c>
      <c r="E27" s="6" t="s">
        <v>267</v>
      </c>
      <c r="F27" s="5" t="s">
        <v>149</v>
      </c>
      <c r="G27" s="6" t="s">
        <v>268</v>
      </c>
      <c r="H27" s="7" t="s">
        <v>145</v>
      </c>
    </row>
    <row r="28" spans="1:8" ht="86.4" x14ac:dyDescent="0.3">
      <c r="A28" s="7">
        <v>20</v>
      </c>
      <c r="B28" s="6" t="s">
        <v>80</v>
      </c>
      <c r="C28" s="7" t="s">
        <v>141</v>
      </c>
      <c r="D28" s="5" t="s">
        <v>102</v>
      </c>
      <c r="E28" s="6" t="s">
        <v>269</v>
      </c>
      <c r="F28" s="5" t="s">
        <v>149</v>
      </c>
      <c r="G28" s="6" t="s">
        <v>270</v>
      </c>
      <c r="H28" s="7" t="s">
        <v>145</v>
      </c>
    </row>
    <row r="30" spans="1:8" x14ac:dyDescent="0.3">
      <c r="B30" s="17" t="s">
        <v>120</v>
      </c>
      <c r="C30" s="3"/>
    </row>
    <row r="31" spans="1:8" x14ac:dyDescent="0.3">
      <c r="B31" s="3" t="s">
        <v>121</v>
      </c>
      <c r="C31" s="3">
        <f>COUNTA($B$9:$B$28)</f>
        <v>20</v>
      </c>
    </row>
    <row r="32" spans="1:8" x14ac:dyDescent="0.3">
      <c r="B32" s="3" t="s">
        <v>122</v>
      </c>
      <c r="C32" s="3">
        <f>COUNTIF($C$9:$C$28,"N/A")</f>
        <v>0</v>
      </c>
    </row>
    <row r="33" spans="2:3" x14ac:dyDescent="0.3">
      <c r="B33" s="3" t="s">
        <v>123</v>
      </c>
      <c r="C33" s="3">
        <f>C31-C32</f>
        <v>20</v>
      </c>
    </row>
    <row r="34" spans="2:3" x14ac:dyDescent="0.3">
      <c r="B34" s="3" t="s">
        <v>124</v>
      </c>
      <c r="C34" s="3">
        <f>COUNTIF($C$9:$C$28,"C")</f>
        <v>11</v>
      </c>
    </row>
    <row r="35" spans="2:3" x14ac:dyDescent="0.3">
      <c r="B35" s="3" t="s">
        <v>125</v>
      </c>
      <c r="C35" s="3">
        <f>COUNTIF($C$9:$C$28,"NC")</f>
        <v>9</v>
      </c>
    </row>
    <row r="36" spans="2:3" x14ac:dyDescent="0.3">
      <c r="B36" s="3" t="s">
        <v>126</v>
      </c>
      <c r="C36" s="13">
        <f>IF(OR(C33=0,COUNTA($C$9:$C$28)=0),"",C34/C33)</f>
        <v>0.55000000000000004</v>
      </c>
    </row>
    <row r="37" spans="2:3" x14ac:dyDescent="0.3">
      <c r="B37" s="3" t="s">
        <v>23</v>
      </c>
      <c r="C37" s="3" t="str">
        <f>IF(C36="","",IF(C36&gt;=0.91,"91-100%",IF(C36&gt;=0.61,"61-90%","0-60%")))</f>
        <v>0-60%</v>
      </c>
    </row>
    <row r="38" spans="2:3" x14ac:dyDescent="0.3">
      <c r="B38" s="3"/>
      <c r="C38" s="3"/>
    </row>
    <row r="39" spans="2:3" x14ac:dyDescent="0.3">
      <c r="B39" s="17" t="s">
        <v>127</v>
      </c>
      <c r="C39" s="3"/>
    </row>
    <row r="40" spans="2:3" x14ac:dyDescent="0.3">
      <c r="B40" s="3" t="s">
        <v>128</v>
      </c>
      <c r="C40" s="3" t="s">
        <v>129</v>
      </c>
    </row>
    <row r="41" spans="2:3" x14ac:dyDescent="0.3">
      <c r="B41" s="3" t="s">
        <v>130</v>
      </c>
      <c r="C41" s="3" t="s">
        <v>131</v>
      </c>
    </row>
    <row r="42" spans="2:3" x14ac:dyDescent="0.3">
      <c r="B42" s="3" t="s">
        <v>132</v>
      </c>
      <c r="C42" s="3" t="s">
        <v>133</v>
      </c>
    </row>
    <row r="43" spans="2:3" x14ac:dyDescent="0.3">
      <c r="B43" s="3"/>
      <c r="C43" s="3"/>
    </row>
    <row r="44" spans="2:3" x14ac:dyDescent="0.3">
      <c r="B44" s="3" t="s">
        <v>134</v>
      </c>
      <c r="C44" s="3"/>
    </row>
    <row r="45" spans="2:3" x14ac:dyDescent="0.3">
      <c r="B45" s="3" t="s">
        <v>135</v>
      </c>
      <c r="C45" s="4">
        <f>IF(C6="","",C6)</f>
        <v>46270</v>
      </c>
    </row>
    <row r="46" spans="2:3" x14ac:dyDescent="0.3">
      <c r="B46" s="3" t="s">
        <v>136</v>
      </c>
      <c r="C46" s="3"/>
    </row>
    <row r="47" spans="2:3" x14ac:dyDescent="0.3">
      <c r="C47" s="8"/>
    </row>
    <row r="48" spans="2:3" x14ac:dyDescent="0.3">
      <c r="B48" s="1"/>
      <c r="C48" s="21"/>
    </row>
  </sheetData>
  <mergeCells count="1">
    <mergeCell ref="B1:C1"/>
  </mergeCells>
  <dataValidations count="3">
    <dataValidation type="list" allowBlank="1" showInputMessage="1" showErrorMessage="1" sqref="C9:C28" xr:uid="{0E844BC2-B66E-48AF-9AB2-4FCABFC980E8}">
      <formula1>"C,NC,N/A"</formula1>
    </dataValidation>
    <dataValidation type="list" allowBlank="1" showInputMessage="1" showErrorMessage="1" sqref="H9:H28" xr:uid="{8FBBC156-A0DD-4E9D-B040-1F99DD94386F}">
      <formula1>"Aberta,Em resolução,Resolvida,Escalonada,Não se aplica"</formula1>
    </dataValidation>
    <dataValidation type="list" allowBlank="1" showInputMessage="1" showErrorMessage="1" sqref="F9:F28" xr:uid="{8C54310D-3CFB-43DF-AA46-6170D5F49B92}">
      <formula1>$B$47:$B$47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FD5D-96E1-40B9-96A2-BAB7ADA042FF}">
  <dimension ref="A1:H48"/>
  <sheetViews>
    <sheetView zoomScale="55" zoomScaleNormal="55" workbookViewId="0">
      <pane ySplit="8" topLeftCell="A9" activePane="bottomLeft" state="frozen"/>
      <selection pane="bottomLeft" activeCell="C51" sqref="C51"/>
    </sheetView>
  </sheetViews>
  <sheetFormatPr defaultRowHeight="14.4" x14ac:dyDescent="0.3"/>
  <cols>
    <col min="1" max="1" width="6.33203125" customWidth="1"/>
    <col min="2" max="2" width="74.109375" customWidth="1"/>
    <col min="3" max="3" width="71.664062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1"/>
      <c r="B1" s="25" t="s">
        <v>119</v>
      </c>
      <c r="C1" s="25"/>
    </row>
    <row r="3" spans="1:8" x14ac:dyDescent="0.3">
      <c r="B3" s="10" t="s">
        <v>105</v>
      </c>
      <c r="C3" s="3" t="s">
        <v>106</v>
      </c>
    </row>
    <row r="4" spans="1:8" x14ac:dyDescent="0.3">
      <c r="B4" s="10" t="s">
        <v>107</v>
      </c>
      <c r="C4" s="3" t="s">
        <v>81</v>
      </c>
    </row>
    <row r="5" spans="1:8" x14ac:dyDescent="0.3">
      <c r="B5" s="10" t="s">
        <v>108</v>
      </c>
      <c r="C5" s="3" t="s">
        <v>103</v>
      </c>
    </row>
    <row r="6" spans="1:8" x14ac:dyDescent="0.3">
      <c r="B6" s="10" t="s">
        <v>109</v>
      </c>
      <c r="C6" s="4">
        <v>46270</v>
      </c>
    </row>
    <row r="8" spans="1:8" x14ac:dyDescent="0.3">
      <c r="A8" s="14" t="s">
        <v>1</v>
      </c>
      <c r="B8" s="14" t="s">
        <v>110</v>
      </c>
      <c r="C8" s="14" t="s">
        <v>2</v>
      </c>
      <c r="D8" s="14" t="s">
        <v>111</v>
      </c>
      <c r="E8" s="14" t="s">
        <v>112</v>
      </c>
      <c r="F8" s="14" t="s">
        <v>113</v>
      </c>
      <c r="G8" s="14" t="s">
        <v>114</v>
      </c>
      <c r="H8" s="14" t="s">
        <v>115</v>
      </c>
    </row>
    <row r="9" spans="1:8" ht="57.6" x14ac:dyDescent="0.3">
      <c r="A9" s="7">
        <v>1</v>
      </c>
      <c r="B9" s="6" t="s">
        <v>3</v>
      </c>
      <c r="C9" s="7" t="s">
        <v>137</v>
      </c>
      <c r="D9" s="5" t="s">
        <v>103</v>
      </c>
      <c r="E9" s="6" t="s">
        <v>272</v>
      </c>
      <c r="F9" s="5" t="s">
        <v>140</v>
      </c>
      <c r="G9" s="6" t="s">
        <v>140</v>
      </c>
      <c r="H9" s="7" t="s">
        <v>140</v>
      </c>
    </row>
    <row r="10" spans="1:8" ht="43.2" x14ac:dyDescent="0.3">
      <c r="A10" s="7">
        <v>2</v>
      </c>
      <c r="B10" s="6" t="s">
        <v>82</v>
      </c>
      <c r="C10" s="7" t="s">
        <v>141</v>
      </c>
      <c r="D10" s="5" t="s">
        <v>103</v>
      </c>
      <c r="E10" s="6" t="s">
        <v>273</v>
      </c>
      <c r="F10" s="5" t="s">
        <v>149</v>
      </c>
      <c r="G10" s="6" t="s">
        <v>274</v>
      </c>
      <c r="H10" s="7" t="s">
        <v>145</v>
      </c>
    </row>
    <row r="11" spans="1:8" ht="43.2" x14ac:dyDescent="0.3">
      <c r="A11" s="7">
        <v>3</v>
      </c>
      <c r="B11" s="6" t="s">
        <v>83</v>
      </c>
      <c r="C11" s="7" t="s">
        <v>141</v>
      </c>
      <c r="D11" s="5" t="s">
        <v>103</v>
      </c>
      <c r="E11" s="6" t="s">
        <v>275</v>
      </c>
      <c r="F11" s="5" t="s">
        <v>149</v>
      </c>
      <c r="G11" s="6" t="s">
        <v>276</v>
      </c>
      <c r="H11" s="7" t="s">
        <v>145</v>
      </c>
    </row>
    <row r="12" spans="1:8" ht="57.6" x14ac:dyDescent="0.3">
      <c r="A12" s="7">
        <v>4</v>
      </c>
      <c r="B12" s="6" t="s">
        <v>84</v>
      </c>
      <c r="C12" s="7" t="s">
        <v>141</v>
      </c>
      <c r="D12" s="5" t="s">
        <v>103</v>
      </c>
      <c r="E12" s="6" t="s">
        <v>277</v>
      </c>
      <c r="F12" s="5" t="s">
        <v>149</v>
      </c>
      <c r="G12" s="6" t="s">
        <v>278</v>
      </c>
      <c r="H12" s="7" t="s">
        <v>145</v>
      </c>
    </row>
    <row r="13" spans="1:8" ht="57.6" x14ac:dyDescent="0.3">
      <c r="A13" s="7">
        <v>5</v>
      </c>
      <c r="B13" s="6" t="s">
        <v>85</v>
      </c>
      <c r="C13" s="7" t="s">
        <v>141</v>
      </c>
      <c r="D13" s="5" t="s">
        <v>103</v>
      </c>
      <c r="E13" s="6" t="s">
        <v>279</v>
      </c>
      <c r="F13" s="5" t="s">
        <v>155</v>
      </c>
      <c r="G13" s="6" t="s">
        <v>280</v>
      </c>
      <c r="H13" s="7" t="s">
        <v>145</v>
      </c>
    </row>
    <row r="14" spans="1:8" ht="43.2" x14ac:dyDescent="0.3">
      <c r="A14" s="7">
        <v>6</v>
      </c>
      <c r="B14" s="6" t="s">
        <v>86</v>
      </c>
      <c r="C14" s="7" t="s">
        <v>141</v>
      </c>
      <c r="D14" s="5" t="s">
        <v>103</v>
      </c>
      <c r="E14" s="6" t="s">
        <v>281</v>
      </c>
      <c r="F14" s="5" t="s">
        <v>155</v>
      </c>
      <c r="G14" s="6" t="s">
        <v>282</v>
      </c>
      <c r="H14" s="7" t="s">
        <v>145</v>
      </c>
    </row>
    <row r="15" spans="1:8" ht="43.2" x14ac:dyDescent="0.3">
      <c r="A15" s="7">
        <v>7</v>
      </c>
      <c r="B15" s="6" t="s">
        <v>87</v>
      </c>
      <c r="C15" s="7" t="s">
        <v>141</v>
      </c>
      <c r="D15" s="5" t="s">
        <v>103</v>
      </c>
      <c r="E15" s="6" t="s">
        <v>283</v>
      </c>
      <c r="F15" s="5" t="s">
        <v>149</v>
      </c>
      <c r="G15" s="6" t="s">
        <v>284</v>
      </c>
      <c r="H15" s="7" t="s">
        <v>145</v>
      </c>
    </row>
    <row r="16" spans="1:8" ht="43.2" x14ac:dyDescent="0.3">
      <c r="A16" s="7">
        <v>8</v>
      </c>
      <c r="B16" s="6" t="s">
        <v>88</v>
      </c>
      <c r="C16" s="7" t="s">
        <v>141</v>
      </c>
      <c r="D16" s="5" t="s">
        <v>103</v>
      </c>
      <c r="E16" s="6" t="s">
        <v>285</v>
      </c>
      <c r="F16" s="5" t="s">
        <v>149</v>
      </c>
      <c r="G16" s="6" t="s">
        <v>286</v>
      </c>
      <c r="H16" s="7" t="s">
        <v>145</v>
      </c>
    </row>
    <row r="17" spans="1:8" ht="43.2" x14ac:dyDescent="0.3">
      <c r="A17" s="7">
        <v>9</v>
      </c>
      <c r="B17" s="6" t="s">
        <v>89</v>
      </c>
      <c r="C17" s="7" t="s">
        <v>141</v>
      </c>
      <c r="D17" s="5" t="s">
        <v>103</v>
      </c>
      <c r="E17" s="6" t="s">
        <v>287</v>
      </c>
      <c r="F17" s="5" t="s">
        <v>155</v>
      </c>
      <c r="G17" s="6" t="s">
        <v>288</v>
      </c>
      <c r="H17" s="7" t="s">
        <v>145</v>
      </c>
    </row>
    <row r="18" spans="1:8" ht="43.2" x14ac:dyDescent="0.3">
      <c r="A18" s="7">
        <v>10</v>
      </c>
      <c r="B18" s="6" t="s">
        <v>90</v>
      </c>
      <c r="C18" s="7" t="s">
        <v>141</v>
      </c>
      <c r="D18" s="5" t="s">
        <v>103</v>
      </c>
      <c r="E18" s="6" t="s">
        <v>289</v>
      </c>
      <c r="F18" s="5" t="s">
        <v>149</v>
      </c>
      <c r="G18" s="6" t="s">
        <v>290</v>
      </c>
      <c r="H18" s="7" t="s">
        <v>145</v>
      </c>
    </row>
    <row r="19" spans="1:8" ht="86.4" x14ac:dyDescent="0.3">
      <c r="A19" s="7">
        <v>11</v>
      </c>
      <c r="B19" s="6" t="s">
        <v>91</v>
      </c>
      <c r="C19" s="7" t="s">
        <v>141</v>
      </c>
      <c r="D19" s="5" t="s">
        <v>103</v>
      </c>
      <c r="E19" s="6" t="s">
        <v>291</v>
      </c>
      <c r="F19" s="5" t="s">
        <v>155</v>
      </c>
      <c r="G19" s="6" t="s">
        <v>292</v>
      </c>
      <c r="H19" s="7" t="s">
        <v>145</v>
      </c>
    </row>
    <row r="20" spans="1:8" ht="43.2" x14ac:dyDescent="0.3">
      <c r="A20" s="7">
        <v>12</v>
      </c>
      <c r="B20" s="6" t="s">
        <v>92</v>
      </c>
      <c r="C20" s="7" t="s">
        <v>141</v>
      </c>
      <c r="D20" s="5" t="s">
        <v>103</v>
      </c>
      <c r="E20" s="6" t="s">
        <v>293</v>
      </c>
      <c r="F20" s="5" t="s">
        <v>149</v>
      </c>
      <c r="G20" s="6" t="s">
        <v>294</v>
      </c>
      <c r="H20" s="7" t="s">
        <v>145</v>
      </c>
    </row>
    <row r="21" spans="1:8" ht="43.2" x14ac:dyDescent="0.3">
      <c r="A21" s="7">
        <v>13</v>
      </c>
      <c r="B21" s="6" t="s">
        <v>93</v>
      </c>
      <c r="C21" s="7" t="s">
        <v>141</v>
      </c>
      <c r="D21" s="5" t="s">
        <v>103</v>
      </c>
      <c r="E21" s="6" t="s">
        <v>295</v>
      </c>
      <c r="F21" s="5" t="s">
        <v>149</v>
      </c>
      <c r="G21" s="6" t="s">
        <v>296</v>
      </c>
      <c r="H21" s="7" t="s">
        <v>145</v>
      </c>
    </row>
    <row r="22" spans="1:8" ht="43.2" x14ac:dyDescent="0.3">
      <c r="A22" s="7">
        <v>14</v>
      </c>
      <c r="B22" s="6" t="s">
        <v>94</v>
      </c>
      <c r="C22" s="7" t="s">
        <v>141</v>
      </c>
      <c r="D22" s="5" t="s">
        <v>103</v>
      </c>
      <c r="E22" s="6" t="s">
        <v>297</v>
      </c>
      <c r="F22" s="5" t="s">
        <v>149</v>
      </c>
      <c r="G22" s="6" t="s">
        <v>298</v>
      </c>
      <c r="H22" s="7" t="s">
        <v>145</v>
      </c>
    </row>
    <row r="23" spans="1:8" ht="57.6" x14ac:dyDescent="0.3">
      <c r="A23" s="7">
        <v>15</v>
      </c>
      <c r="B23" s="6" t="s">
        <v>95</v>
      </c>
      <c r="C23" s="7" t="s">
        <v>141</v>
      </c>
      <c r="D23" s="5" t="s">
        <v>103</v>
      </c>
      <c r="E23" s="6" t="s">
        <v>299</v>
      </c>
      <c r="F23" s="5" t="s">
        <v>143</v>
      </c>
      <c r="G23" s="6" t="s">
        <v>300</v>
      </c>
      <c r="H23" s="7" t="s">
        <v>145</v>
      </c>
    </row>
    <row r="24" spans="1:8" ht="57.6" x14ac:dyDescent="0.3">
      <c r="A24" s="7">
        <v>16</v>
      </c>
      <c r="B24" s="6" t="s">
        <v>96</v>
      </c>
      <c r="C24" s="7" t="s">
        <v>141</v>
      </c>
      <c r="D24" s="5" t="s">
        <v>103</v>
      </c>
      <c r="E24" s="6" t="s">
        <v>301</v>
      </c>
      <c r="F24" s="5" t="s">
        <v>149</v>
      </c>
      <c r="G24" s="6" t="s">
        <v>302</v>
      </c>
      <c r="H24" s="7" t="s">
        <v>145</v>
      </c>
    </row>
    <row r="25" spans="1:8" ht="57.6" x14ac:dyDescent="0.3">
      <c r="A25" s="7">
        <v>17</v>
      </c>
      <c r="B25" s="6" t="s">
        <v>97</v>
      </c>
      <c r="C25" s="7" t="s">
        <v>141</v>
      </c>
      <c r="D25" s="5" t="s">
        <v>103</v>
      </c>
      <c r="E25" s="6" t="s">
        <v>303</v>
      </c>
      <c r="F25" s="5" t="s">
        <v>149</v>
      </c>
      <c r="G25" s="6" t="s">
        <v>304</v>
      </c>
      <c r="H25" s="7" t="s">
        <v>145</v>
      </c>
    </row>
    <row r="26" spans="1:8" ht="86.4" x14ac:dyDescent="0.3">
      <c r="A26" s="7">
        <v>18</v>
      </c>
      <c r="B26" s="6" t="s">
        <v>98</v>
      </c>
      <c r="C26" s="7" t="s">
        <v>141</v>
      </c>
      <c r="D26" s="5" t="s">
        <v>103</v>
      </c>
      <c r="E26" s="6" t="s">
        <v>305</v>
      </c>
      <c r="F26" s="5" t="s">
        <v>155</v>
      </c>
      <c r="G26" s="6" t="s">
        <v>306</v>
      </c>
      <c r="H26" s="7" t="s">
        <v>145</v>
      </c>
    </row>
    <row r="27" spans="1:8" ht="57.6" x14ac:dyDescent="0.3">
      <c r="A27" s="7">
        <v>19</v>
      </c>
      <c r="B27" s="6" t="s">
        <v>99</v>
      </c>
      <c r="C27" s="7" t="s">
        <v>140</v>
      </c>
      <c r="D27" s="5" t="s">
        <v>103</v>
      </c>
      <c r="E27" s="6" t="s">
        <v>307</v>
      </c>
      <c r="F27" s="5" t="s">
        <v>140</v>
      </c>
      <c r="G27" s="6" t="s">
        <v>140</v>
      </c>
      <c r="H27" s="7" t="s">
        <v>140</v>
      </c>
    </row>
    <row r="28" spans="1:8" ht="57.6" x14ac:dyDescent="0.3">
      <c r="A28" s="7">
        <v>20</v>
      </c>
      <c r="B28" s="6" t="s">
        <v>100</v>
      </c>
      <c r="C28" s="7" t="s">
        <v>141</v>
      </c>
      <c r="D28" s="5" t="s">
        <v>103</v>
      </c>
      <c r="E28" s="6" t="s">
        <v>308</v>
      </c>
      <c r="F28" s="5" t="s">
        <v>155</v>
      </c>
      <c r="G28" s="6" t="s">
        <v>309</v>
      </c>
      <c r="H28" s="7" t="s">
        <v>145</v>
      </c>
    </row>
    <row r="30" spans="1:8" x14ac:dyDescent="0.3">
      <c r="B30" s="18" t="s">
        <v>120</v>
      </c>
      <c r="C30" s="3"/>
    </row>
    <row r="31" spans="1:8" x14ac:dyDescent="0.3">
      <c r="B31" s="2" t="s">
        <v>121</v>
      </c>
      <c r="C31" s="3">
        <f>COUNTA($B$9:$B$28)</f>
        <v>20</v>
      </c>
    </row>
    <row r="32" spans="1:8" x14ac:dyDescent="0.3">
      <c r="B32" s="2" t="s">
        <v>122</v>
      </c>
      <c r="C32" s="3">
        <f>COUNTIF($C$9:$C$28,"N/A")</f>
        <v>1</v>
      </c>
    </row>
    <row r="33" spans="2:3" x14ac:dyDescent="0.3">
      <c r="B33" s="2" t="s">
        <v>123</v>
      </c>
      <c r="C33" s="3">
        <f>C31-C32</f>
        <v>19</v>
      </c>
    </row>
    <row r="34" spans="2:3" x14ac:dyDescent="0.3">
      <c r="B34" s="2" t="s">
        <v>124</v>
      </c>
      <c r="C34" s="3">
        <f>COUNTIF($C$9:$C$28,"C")</f>
        <v>1</v>
      </c>
    </row>
    <row r="35" spans="2:3" x14ac:dyDescent="0.3">
      <c r="B35" s="2" t="s">
        <v>125</v>
      </c>
      <c r="C35" s="3">
        <f>COUNTIF($C$9:$C$28,"NC")</f>
        <v>18</v>
      </c>
    </row>
    <row r="36" spans="2:3" x14ac:dyDescent="0.3">
      <c r="B36" s="2" t="s">
        <v>126</v>
      </c>
      <c r="C36" s="13">
        <f>IF(OR(C33=0,COUNTA($C$9:$C$28)=0),"",C34/C33)</f>
        <v>5.2631578947368418E-2</v>
      </c>
    </row>
    <row r="37" spans="2:3" x14ac:dyDescent="0.3">
      <c r="B37" s="2" t="s">
        <v>23</v>
      </c>
      <c r="C37" s="3" t="str">
        <f>IF(C36="","",IF(C36&gt;=0.91,"91-100%",IF(C36&gt;=0.61,"61-90%","0-60%")))</f>
        <v>0-60%</v>
      </c>
    </row>
    <row r="39" spans="2:3" x14ac:dyDescent="0.3">
      <c r="B39" s="18" t="s">
        <v>127</v>
      </c>
      <c r="C39" s="3"/>
    </row>
    <row r="40" spans="2:3" x14ac:dyDescent="0.3">
      <c r="B40" s="2" t="s">
        <v>128</v>
      </c>
      <c r="C40" s="3" t="s">
        <v>129</v>
      </c>
    </row>
    <row r="41" spans="2:3" x14ac:dyDescent="0.3">
      <c r="B41" s="2" t="s">
        <v>130</v>
      </c>
      <c r="C41" s="3" t="s">
        <v>131</v>
      </c>
    </row>
    <row r="42" spans="2:3" x14ac:dyDescent="0.3">
      <c r="B42" s="2" t="s">
        <v>132</v>
      </c>
      <c r="C42" s="3" t="s">
        <v>133</v>
      </c>
    </row>
    <row r="44" spans="2:3" x14ac:dyDescent="0.3">
      <c r="B44" s="2" t="s">
        <v>134</v>
      </c>
      <c r="C44" s="3"/>
    </row>
    <row r="45" spans="2:3" x14ac:dyDescent="0.3">
      <c r="B45" s="2" t="s">
        <v>135</v>
      </c>
      <c r="C45" s="4">
        <f>IF(C6="","",C6)</f>
        <v>46270</v>
      </c>
    </row>
    <row r="46" spans="2:3" x14ac:dyDescent="0.3">
      <c r="B46" s="2" t="s">
        <v>136</v>
      </c>
      <c r="C46" s="3"/>
    </row>
    <row r="47" spans="2:3" x14ac:dyDescent="0.3">
      <c r="C47" s="8"/>
    </row>
    <row r="48" spans="2:3" x14ac:dyDescent="0.3">
      <c r="B48" s="1"/>
      <c r="C48" s="21"/>
    </row>
  </sheetData>
  <mergeCells count="1">
    <mergeCell ref="B1:C1"/>
  </mergeCells>
  <dataValidations count="3">
    <dataValidation type="list" allowBlank="1" showInputMessage="1" showErrorMessage="1" sqref="C9:C28" xr:uid="{F7E15E75-27C8-4F38-A8E7-6DF9D6EE0FED}">
      <formula1>"C,NC,N/A"</formula1>
    </dataValidation>
    <dataValidation type="list" allowBlank="1" showInputMessage="1" showErrorMessage="1" sqref="H9:H28" xr:uid="{F83CCFC2-0AFB-4F97-9713-49CFB17FEBDE}">
      <formula1>"Aberta,Em resolução,Resolvida,Escalonada,Não se aplica"</formula1>
    </dataValidation>
    <dataValidation type="list" allowBlank="1" showInputMessage="1" showErrorMessage="1" sqref="F9:F28" xr:uid="{07AC807A-3A7A-46B0-ACB5-A4D2CCCD00C4}">
      <formula1>$B$47:$B$47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C1 - Art1 3 Objetivos</vt:lpstr>
      <vt:lpstr>C2 - Art3 Visao de Produto</vt:lpstr>
      <vt:lpstr>C3 - Art4 Canvas PBB</vt:lpstr>
      <vt:lpstr>C4 - Art5 User Stories</vt:lpstr>
      <vt:lpstr>C5 - Art6 Modelo Relacional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Felipe Forero Araujo</dc:creator>
  <cp:lastModifiedBy>André Felipe Forero Araujo</cp:lastModifiedBy>
  <cp:lastPrinted>2026-09-03T00:19:30Z</cp:lastPrinted>
  <dcterms:created xsi:type="dcterms:W3CDTF">2026-09-02T23:32:59Z</dcterms:created>
  <dcterms:modified xsi:type="dcterms:W3CDTF">2026-09-06T22:10:31Z</dcterms:modified>
</cp:coreProperties>
</file>